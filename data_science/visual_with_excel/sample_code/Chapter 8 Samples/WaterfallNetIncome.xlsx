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8\Samples\"/>
    </mc:Choice>
  </mc:AlternateContent>
  <xr:revisionPtr revIDLastSave="0" documentId="13_ncr:1_{4C69E998-EC39-4FAB-A262-D44237C92B58}" xr6:coauthVersionLast="45" xr6:coauthVersionMax="45" xr10:uidLastSave="{00000000-0000-0000-0000-000000000000}"/>
  <bookViews>
    <workbookView xWindow="28680" yWindow="-120" windowWidth="15600" windowHeight="11160" xr2:uid="{5FAE826A-8DBE-4B91-B698-7374798CAADB}"/>
  </bookViews>
  <sheets>
    <sheet name="Income Statement" sheetId="1" r:id="rId1"/>
    <sheet name="8.37" sheetId="2" r:id="rId2"/>
  </sheets>
  <definedNames>
    <definedName name="_xlchart.v1.0" hidden="1">'Income Statement'!$A$1:$A$8</definedName>
    <definedName name="_xlchart.v1.1" hidden="1">'Income Statement'!$B$1:$B$8</definedName>
    <definedName name="_xlchart.v1.2" hidden="1">'Income Statement'!$A$1:$A$8</definedName>
    <definedName name="_xlchart.v1.3" hidden="1">'Income Statement'!$C$1:$C$8</definedName>
    <definedName name="_xlchart.v1.4" hidden="1">'8.37'!$A$1:$A$8</definedName>
    <definedName name="_xlchart.v1.5" hidden="1">'8.37'!$B$1:$B$8</definedName>
    <definedName name="_xlchart.v1.6" hidden="1">'8.37'!$A$1:$A$8</definedName>
    <definedName name="_xlchart.v1.7" hidden="1">'8.37'!$C$1:$C$8</definedName>
    <definedName name="_xlchart.v1.8" hidden="1">'8.37'!$A$1:$A$8</definedName>
    <definedName name="_xlchart.v1.9" hidden="1">'8.37'!$B$1:$B$8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6" i="2"/>
  <c r="B4" i="2"/>
  <c r="C4" i="2" s="1"/>
  <c r="B3" i="2"/>
  <c r="C3" i="2" s="1"/>
  <c r="B2" i="2"/>
  <c r="C1" i="2"/>
  <c r="B5" i="2" l="1"/>
  <c r="C5" i="2" s="1"/>
  <c r="C2" i="2"/>
  <c r="C6" i="1"/>
  <c r="C7" i="1"/>
  <c r="C1" i="1"/>
  <c r="B8" i="1"/>
  <c r="C8" i="1" s="1"/>
  <c r="B3" i="1"/>
  <c r="B5" i="1" s="1"/>
  <c r="C5" i="1" s="1"/>
  <c r="B4" i="1"/>
  <c r="C4" i="1" s="1"/>
  <c r="B2" i="1"/>
  <c r="C2" i="1" s="1"/>
  <c r="B8" i="2" l="1"/>
  <c r="C8" i="2" s="1"/>
  <c r="C3" i="1"/>
</calcChain>
</file>

<file path=xl/sharedStrings.xml><?xml version="1.0" encoding="utf-8"?>
<sst xmlns="http://schemas.openxmlformats.org/spreadsheetml/2006/main" count="16" uniqueCount="8">
  <si>
    <t>Sales</t>
  </si>
  <si>
    <t>Cost of Sales</t>
  </si>
  <si>
    <t>Gross Margin</t>
  </si>
  <si>
    <t>Operating Profit</t>
  </si>
  <si>
    <t>Interest Expense</t>
  </si>
  <si>
    <t>Misc. Income</t>
  </si>
  <si>
    <t>Net Profit</t>
  </si>
  <si>
    <t>Selling, General,
 and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</si>
</sst>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2" xfId="1" applyNumberFormat="1" applyFont="1" applyBorder="1"/>
    <xf numFmtId="0" fontId="0" fillId="0" borderId="0" xfId="0" applyAlignment="1">
      <alignment wrapText="1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Income Statement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(in thousands)</a:t>
            </a:r>
          </a:p>
        </cx:rich>
      </cx:tx>
    </cx:title>
    <cx:plotArea>
      <cx:plotAreaRegion>
        <cx:series layoutId="waterfall" uniqueId="{7591F597-E188-467A-A8F9-61F0BDDBB4C3}">
          <cx:dataLabels pos="outEnd">
            <cx:numFmt formatCode="* #,###,;* (#,###,)" sourceLinked="0"/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2"/>
              <cx:idx val="4"/>
              <cx:idx val="7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Income Statement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(% of Sales)</a:t>
            </a:r>
          </a:p>
        </cx:rich>
      </cx:tx>
    </cx:title>
    <cx:plotArea>
      <cx:plotAreaRegion>
        <cx:series layoutId="waterfall" uniqueId="{81172904-91CB-4FFF-9C50-4AD673187F19}"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4"/>
              <cx:idx val="7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/>
    <cx:plotArea>
      <cx:plotAreaRegion>
        <cx:series layoutId="waterfall" uniqueId="{692354F4-4B79-443C-BFCB-8E4C4FE36D36}"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4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</xdr:row>
      <xdr:rowOff>95249</xdr:rowOff>
    </xdr:from>
    <xdr:to>
      <xdr:col>14</xdr:col>
      <xdr:colOff>314325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3F2D6D8-EDA5-47CB-9A07-90155C3A5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476249"/>
              <a:ext cx="5219700" cy="33242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19</xdr:row>
      <xdr:rowOff>47624</xdr:rowOff>
    </xdr:from>
    <xdr:to>
      <xdr:col>14</xdr:col>
      <xdr:colOff>342900</xdr:colOff>
      <xdr:row>36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7F4FA57-418F-4066-B65B-BB80875785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0675" y="3876674"/>
              <a:ext cx="5219700" cy="3324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157162</xdr:rowOff>
    </xdr:from>
    <xdr:to>
      <xdr:col>11</xdr:col>
      <xdr:colOff>0</xdr:colOff>
      <xdr:row>19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71AA80E-6C05-4D15-ABC6-2BBFBBCEAF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11096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3DD9-E076-4D64-B073-574C22ECCF59}">
  <dimension ref="A1:C9"/>
  <sheetViews>
    <sheetView tabSelected="1" topLeftCell="D13" workbookViewId="0">
      <selection activeCell="I15" sqref="I15"/>
    </sheetView>
  </sheetViews>
  <sheetFormatPr defaultRowHeight="15" x14ac:dyDescent="0.25"/>
  <cols>
    <col min="1" max="1" width="26.140625" bestFit="1" customWidth="1"/>
    <col min="2" max="2" width="14.28515625" bestFit="1" customWidth="1"/>
    <col min="3" max="3" width="13.140625" customWidth="1"/>
  </cols>
  <sheetData>
    <row r="1" spans="1:3" x14ac:dyDescent="0.25">
      <c r="A1" t="s">
        <v>0</v>
      </c>
      <c r="B1" s="1">
        <v>28563421</v>
      </c>
      <c r="C1" s="5">
        <f>B1/$B$1</f>
        <v>1</v>
      </c>
    </row>
    <row r="2" spans="1:3" x14ac:dyDescent="0.25">
      <c r="A2" t="s">
        <v>1</v>
      </c>
      <c r="B2" s="2">
        <f>-ROUND(B1*0.61,0)</f>
        <v>-17423687</v>
      </c>
      <c r="C2" s="5">
        <f t="shared" ref="C2:C8" si="0">B2/$B$1</f>
        <v>-0.61000000665186427</v>
      </c>
    </row>
    <row r="3" spans="1:3" x14ac:dyDescent="0.25">
      <c r="A3" t="s">
        <v>2</v>
      </c>
      <c r="B3" s="1">
        <f>SUBTOTAL(9,B1:B2)</f>
        <v>11139734</v>
      </c>
      <c r="C3" s="5">
        <f t="shared" si="0"/>
        <v>0.38999999334813573</v>
      </c>
    </row>
    <row r="4" spans="1:3" ht="30" x14ac:dyDescent="0.25">
      <c r="A4" s="4" t="s">
        <v>7</v>
      </c>
      <c r="B4" s="2">
        <f>-ROUND(B1*0.29,0)</f>
        <v>-8283392</v>
      </c>
      <c r="C4" s="5">
        <f t="shared" si="0"/>
        <v>-0.28999999684911693</v>
      </c>
    </row>
    <row r="5" spans="1:3" x14ac:dyDescent="0.25">
      <c r="A5" t="s">
        <v>3</v>
      </c>
      <c r="B5" s="1">
        <f>SUBTOTAL(9,B1:B4)</f>
        <v>2856342</v>
      </c>
      <c r="C5" s="5">
        <f t="shared" si="0"/>
        <v>9.9999996499018792E-2</v>
      </c>
    </row>
    <row r="6" spans="1:3" x14ac:dyDescent="0.25">
      <c r="A6" t="s">
        <v>4</v>
      </c>
      <c r="B6" s="1">
        <v>-1258769</v>
      </c>
      <c r="C6" s="5">
        <f t="shared" si="0"/>
        <v>-4.4069266072855912E-2</v>
      </c>
    </row>
    <row r="7" spans="1:3" x14ac:dyDescent="0.25">
      <c r="A7" t="s">
        <v>5</v>
      </c>
      <c r="B7" s="1">
        <v>623487</v>
      </c>
      <c r="C7" s="5">
        <f t="shared" si="0"/>
        <v>2.1828162670010712E-2</v>
      </c>
    </row>
    <row r="8" spans="1:3" ht="15.75" thickBot="1" x14ac:dyDescent="0.3">
      <c r="A8" t="s">
        <v>6</v>
      </c>
      <c r="B8" s="3">
        <f>SUBTOTAL(9,B1:B7)</f>
        <v>2221060</v>
      </c>
      <c r="C8" s="5">
        <f t="shared" si="0"/>
        <v>7.7758893096173592E-2</v>
      </c>
    </row>
    <row r="9" spans="1:3" ht="15.75" thickTop="1" x14ac:dyDescent="0.25"/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8CB4-7B40-4F97-B351-56CFA594EB8E}">
  <dimension ref="A1:C9"/>
  <sheetViews>
    <sheetView workbookViewId="0">
      <selection activeCell="C22" sqref="C22"/>
    </sheetView>
  </sheetViews>
  <sheetFormatPr defaultRowHeight="15" x14ac:dyDescent="0.25"/>
  <cols>
    <col min="1" max="1" width="26.140625" bestFit="1" customWidth="1"/>
    <col min="2" max="2" width="14.28515625" bestFit="1" customWidth="1"/>
    <col min="3" max="3" width="13.140625" customWidth="1"/>
  </cols>
  <sheetData>
    <row r="1" spans="1:3" x14ac:dyDescent="0.25">
      <c r="A1" t="s">
        <v>0</v>
      </c>
      <c r="B1" s="1">
        <v>28563421</v>
      </c>
      <c r="C1" s="5">
        <f>B1/$B$1</f>
        <v>1</v>
      </c>
    </row>
    <row r="2" spans="1:3" x14ac:dyDescent="0.25">
      <c r="A2" t="s">
        <v>1</v>
      </c>
      <c r="B2" s="2">
        <f>-ROUND(B1*0.61,0)</f>
        <v>-17423687</v>
      </c>
      <c r="C2" s="5">
        <f t="shared" ref="C2:C8" si="0">B2/$B$1</f>
        <v>-0.61000000665186427</v>
      </c>
    </row>
    <row r="3" spans="1:3" x14ac:dyDescent="0.25">
      <c r="A3" t="s">
        <v>2</v>
      </c>
      <c r="B3" s="1">
        <f>SUBTOTAL(9,B1:B2)</f>
        <v>11139734</v>
      </c>
      <c r="C3" s="5">
        <f t="shared" si="0"/>
        <v>0.38999999334813573</v>
      </c>
    </row>
    <row r="4" spans="1:3" ht="30" x14ac:dyDescent="0.25">
      <c r="A4" s="4" t="s">
        <v>7</v>
      </c>
      <c r="B4" s="2">
        <f>-ROUND(B1*0.29,0)</f>
        <v>-8283392</v>
      </c>
      <c r="C4" s="5">
        <f t="shared" si="0"/>
        <v>-0.28999999684911693</v>
      </c>
    </row>
    <row r="5" spans="1:3" x14ac:dyDescent="0.25">
      <c r="A5" t="s">
        <v>3</v>
      </c>
      <c r="B5" s="1">
        <f>SUBTOTAL(9,B1:B4)</f>
        <v>2856342</v>
      </c>
      <c r="C5" s="5">
        <f t="shared" si="0"/>
        <v>9.9999996499018792E-2</v>
      </c>
    </row>
    <row r="6" spans="1:3" x14ac:dyDescent="0.25">
      <c r="A6" t="s">
        <v>4</v>
      </c>
      <c r="B6" s="1">
        <v>-1258769</v>
      </c>
      <c r="C6" s="5">
        <f t="shared" si="0"/>
        <v>-4.4069266072855912E-2</v>
      </c>
    </row>
    <row r="7" spans="1:3" x14ac:dyDescent="0.25">
      <c r="A7" t="s">
        <v>5</v>
      </c>
      <c r="B7" s="1">
        <v>623487</v>
      </c>
      <c r="C7" s="5">
        <f t="shared" si="0"/>
        <v>2.1828162670010712E-2</v>
      </c>
    </row>
    <row r="8" spans="1:3" ht="15.75" thickBot="1" x14ac:dyDescent="0.3">
      <c r="A8" t="s">
        <v>6</v>
      </c>
      <c r="B8" s="3">
        <f>SUBTOTAL(9,B1:B7)</f>
        <v>2221060</v>
      </c>
      <c r="C8" s="5">
        <f t="shared" si="0"/>
        <v>7.7758893096173592E-2</v>
      </c>
    </row>
    <row r="9" spans="1:3" ht="15.75" thickTop="1" x14ac:dyDescent="0.2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8.37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2020-03-08T18:51:12Z</dcterms:created>
  <dcterms:modified xsi:type="dcterms:W3CDTF">2020-07-26T15:34:40Z</dcterms:modified>
</cp:coreProperties>
</file>