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ck\Dropbox\books\Dashboards\Working\Chapter2\Samples\"/>
    </mc:Choice>
  </mc:AlternateContent>
  <xr:revisionPtr revIDLastSave="0" documentId="13_ncr:1_{25738BA5-37ED-4241-9369-43E2C22C3369}" xr6:coauthVersionLast="45" xr6:coauthVersionMax="45" xr10:uidLastSave="{00000000-0000-0000-0000-000000000000}"/>
  <bookViews>
    <workbookView xWindow="28680" yWindow="-120" windowWidth="29040" windowHeight="16440" xr2:uid="{442E8684-F83D-4C10-9FBC-ECDBD2514CBD}"/>
  </bookViews>
  <sheets>
    <sheet name="Dashboard" sheetId="4" r:id="rId1"/>
    <sheet name="Data" sheetId="1" r:id="rId2"/>
    <sheet name="Layout" sheetId="2" r:id="rId3"/>
    <sheet name="Dynamic" sheetId="3" r:id="rId4"/>
  </sheets>
  <definedNames>
    <definedName name="_xlchart.v1.0" hidden="1">Data!$A$16:$A$22</definedName>
    <definedName name="_xlchart.v1.1" hidden="1">Data!$G$16:$G$22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8" i="1" l="1"/>
  <c r="G38" i="1"/>
  <c r="F39" i="1"/>
  <c r="G39" i="1"/>
  <c r="G37" i="1"/>
  <c r="F37" i="1"/>
  <c r="C39" i="1"/>
  <c r="D39" i="1"/>
  <c r="E39" i="1"/>
  <c r="B39" i="1"/>
  <c r="D26" i="1"/>
  <c r="E26" i="1"/>
  <c r="F26" i="1"/>
  <c r="G26" i="1"/>
  <c r="D27" i="1"/>
  <c r="E27" i="1"/>
  <c r="F27" i="1"/>
  <c r="G27" i="1"/>
  <c r="D28" i="1"/>
  <c r="E28" i="1"/>
  <c r="F28" i="1"/>
  <c r="G28" i="1"/>
  <c r="C28" i="1"/>
  <c r="C26" i="1"/>
  <c r="C27" i="1"/>
  <c r="D55" i="3" l="1"/>
  <c r="G34" i="3"/>
  <c r="F34" i="3"/>
  <c r="E34" i="3"/>
  <c r="D34" i="3"/>
  <c r="C34" i="3"/>
  <c r="C10" i="3" s="1"/>
  <c r="G33" i="3"/>
  <c r="F33" i="3"/>
  <c r="E33" i="3"/>
  <c r="D33" i="3"/>
  <c r="C33" i="3"/>
  <c r="C9" i="3" s="1"/>
  <c r="G32" i="3"/>
  <c r="F32" i="3"/>
  <c r="E32" i="3"/>
  <c r="D32" i="3"/>
  <c r="C32" i="3"/>
  <c r="C8" i="3" s="1"/>
  <c r="G31" i="3"/>
  <c r="F31" i="3"/>
  <c r="E31" i="3"/>
  <c r="D31" i="3"/>
  <c r="C31" i="3"/>
  <c r="C7" i="3" s="1"/>
  <c r="G29" i="3"/>
  <c r="G30" i="3" s="1"/>
  <c r="F29" i="3"/>
  <c r="F30" i="3" s="1"/>
  <c r="E29" i="3"/>
  <c r="E30" i="3" s="1"/>
  <c r="D29" i="3"/>
  <c r="D30" i="3" s="1"/>
  <c r="C29" i="3"/>
  <c r="C30" i="3" s="1"/>
  <c r="C28" i="3"/>
  <c r="G27" i="3"/>
  <c r="F27" i="3"/>
  <c r="E27" i="3"/>
  <c r="D27" i="3"/>
  <c r="C27" i="3"/>
  <c r="G26" i="3"/>
  <c r="F26" i="3"/>
  <c r="E26" i="3"/>
  <c r="D26" i="3"/>
  <c r="C26" i="3"/>
  <c r="C5" i="3" s="1"/>
  <c r="G25" i="3"/>
  <c r="F25" i="3"/>
  <c r="E25" i="3"/>
  <c r="D25" i="3"/>
  <c r="C25" i="3"/>
  <c r="C4" i="3" s="1"/>
  <c r="G24" i="3"/>
  <c r="F24" i="3"/>
  <c r="E24" i="3"/>
  <c r="D24" i="3"/>
  <c r="C24" i="3"/>
  <c r="C22" i="3"/>
  <c r="C54" i="3" s="1"/>
  <c r="C17" i="3"/>
  <c r="C18" i="3" s="1"/>
  <c r="C52" i="3" s="1"/>
  <c r="D16" i="3"/>
  <c r="C12" i="3"/>
  <c r="D12" i="3" s="1"/>
  <c r="C11" i="3"/>
  <c r="D11" i="3" s="1"/>
  <c r="E11" i="3" s="1"/>
  <c r="F11" i="3" s="1"/>
  <c r="G11" i="3" s="1"/>
  <c r="B3" i="3"/>
  <c r="B14" i="3" s="1"/>
  <c r="F1" i="3"/>
  <c r="E1" i="3"/>
  <c r="D1" i="3" s="1"/>
  <c r="C1" i="3" s="1"/>
  <c r="B1" i="3" s="1"/>
  <c r="D9" i="3" l="1"/>
  <c r="E9" i="3" s="1"/>
  <c r="F9" i="3" s="1"/>
  <c r="G9" i="3" s="1"/>
  <c r="D10" i="3"/>
  <c r="E10" i="3" s="1"/>
  <c r="E21" i="3" s="1"/>
  <c r="D4" i="3"/>
  <c r="E4" i="3" s="1"/>
  <c r="F4" i="3" s="1"/>
  <c r="G4" i="3" s="1"/>
  <c r="D7" i="3"/>
  <c r="E7" i="3" s="1"/>
  <c r="F7" i="3" s="1"/>
  <c r="G7" i="3" s="1"/>
  <c r="C21" i="3"/>
  <c r="C20" i="3" s="1"/>
  <c r="C37" i="3"/>
  <c r="C38" i="3" s="1"/>
  <c r="C13" i="3" s="1"/>
  <c r="D5" i="3"/>
  <c r="E5" i="3" s="1"/>
  <c r="F5" i="3" s="1"/>
  <c r="G5" i="3" s="1"/>
  <c r="D8" i="3"/>
  <c r="E8" i="3" s="1"/>
  <c r="F8" i="3" s="1"/>
  <c r="G8" i="3" s="1"/>
  <c r="C6" i="3"/>
  <c r="E12" i="3"/>
  <c r="C3" i="3"/>
  <c r="D3" i="3" s="1"/>
  <c r="E3" i="3" s="1"/>
  <c r="F3" i="3" s="1"/>
  <c r="G3" i="3" s="1"/>
  <c r="C45" i="3"/>
  <c r="D22" i="3"/>
  <c r="E55" i="3"/>
  <c r="D17" i="3"/>
  <c r="D18" i="3" s="1"/>
  <c r="D52" i="3" s="1"/>
  <c r="E16" i="3"/>
  <c r="C43" i="3"/>
  <c r="F1" i="1"/>
  <c r="E1" i="1" s="1"/>
  <c r="D1" i="1" s="1"/>
  <c r="C1" i="1" s="1"/>
  <c r="B1" i="1" s="1"/>
  <c r="D21" i="3" l="1"/>
  <c r="D20" i="3" s="1"/>
  <c r="F10" i="3"/>
  <c r="G10" i="3" s="1"/>
  <c r="C19" i="3"/>
  <c r="C53" i="3"/>
  <c r="C49" i="3"/>
  <c r="C42" i="3"/>
  <c r="D44" i="3"/>
  <c r="D43" i="3"/>
  <c r="D45" i="3"/>
  <c r="D37" i="3"/>
  <c r="D38" i="3" s="1"/>
  <c r="D54" i="3"/>
  <c r="C39" i="3"/>
  <c r="C2" i="3" s="1"/>
  <c r="F12" i="3"/>
  <c r="G12" i="3" s="1"/>
  <c r="E22" i="3"/>
  <c r="F55" i="3"/>
  <c r="E17" i="3"/>
  <c r="E18" i="3" s="1"/>
  <c r="E52" i="3" s="1"/>
  <c r="E44" i="3"/>
  <c r="F16" i="3"/>
  <c r="C44" i="3"/>
  <c r="C46" i="3" s="1"/>
  <c r="D28" i="3"/>
  <c r="D6" i="3" s="1"/>
  <c r="F21" i="3" l="1"/>
  <c r="D39" i="3"/>
  <c r="D2" i="3" s="1"/>
  <c r="G55" i="3"/>
  <c r="F17" i="3"/>
  <c r="F18" i="3" s="1"/>
  <c r="F52" i="3" s="1"/>
  <c r="F44" i="3"/>
  <c r="G16" i="3"/>
  <c r="F22" i="3"/>
  <c r="D46" i="3"/>
  <c r="E43" i="3"/>
  <c r="E45" i="3"/>
  <c r="C48" i="3"/>
  <c r="C47" i="3"/>
  <c r="C14" i="3"/>
  <c r="C50" i="3"/>
  <c r="D19" i="3"/>
  <c r="D53" i="3"/>
  <c r="E20" i="3"/>
  <c r="E54" i="3"/>
  <c r="E37" i="3"/>
  <c r="E38" i="3" s="1"/>
  <c r="E28" i="3"/>
  <c r="E6" i="3" s="1"/>
  <c r="G21" i="3"/>
  <c r="D13" i="3"/>
  <c r="C29" i="1"/>
  <c r="D33" i="1"/>
  <c r="D29" i="1"/>
  <c r="C33" i="1"/>
  <c r="E46" i="3" l="1"/>
  <c r="E39" i="3"/>
  <c r="E2" i="3" s="1"/>
  <c r="F28" i="3"/>
  <c r="G44" i="3"/>
  <c r="G22" i="3"/>
  <c r="G17" i="3"/>
  <c r="G18" i="3" s="1"/>
  <c r="G52" i="3" s="1"/>
  <c r="E13" i="3"/>
  <c r="D42" i="3"/>
  <c r="D49" i="3"/>
  <c r="D48" i="3"/>
  <c r="D14" i="3"/>
  <c r="D47" i="3"/>
  <c r="D50" i="3"/>
  <c r="F45" i="3"/>
  <c r="F43" i="3"/>
  <c r="F20" i="3"/>
  <c r="F37" i="3"/>
  <c r="F38" i="3" s="1"/>
  <c r="F54" i="3"/>
  <c r="E53" i="3"/>
  <c r="E19" i="3"/>
  <c r="G29" i="1"/>
  <c r="E29" i="1"/>
  <c r="C34" i="1"/>
  <c r="F33" i="1"/>
  <c r="E33" i="1"/>
  <c r="E37" i="1" l="1"/>
  <c r="E38" i="1" s="1"/>
  <c r="F46" i="3"/>
  <c r="F39" i="3"/>
  <c r="F2" i="3" s="1"/>
  <c r="F13" i="3"/>
  <c r="E42" i="3"/>
  <c r="E49" i="3"/>
  <c r="G43" i="3"/>
  <c r="G45" i="3"/>
  <c r="G20" i="3"/>
  <c r="G37" i="3"/>
  <c r="G38" i="3" s="1"/>
  <c r="G54" i="3"/>
  <c r="E14" i="3"/>
  <c r="E48" i="3"/>
  <c r="E47" i="3"/>
  <c r="E50" i="3"/>
  <c r="F53" i="3"/>
  <c r="F19" i="3"/>
  <c r="F6" i="3"/>
  <c r="F29" i="1"/>
  <c r="G33" i="1"/>
  <c r="D34" i="1"/>
  <c r="G46" i="3" l="1"/>
  <c r="F14" i="3"/>
  <c r="F47" i="3"/>
  <c r="F48" i="3"/>
  <c r="F50" i="3"/>
  <c r="G53" i="3"/>
  <c r="G19" i="3"/>
  <c r="G28" i="3"/>
  <c r="G39" i="3" s="1"/>
  <c r="G2" i="3" s="1"/>
  <c r="G13" i="3"/>
  <c r="F42" i="3"/>
  <c r="F49" i="3"/>
  <c r="C31" i="1"/>
  <c r="C30" i="1"/>
  <c r="E34" i="1"/>
  <c r="G6" i="3" l="1"/>
  <c r="G14" i="3" s="1"/>
  <c r="G47" i="3"/>
  <c r="G48" i="3"/>
  <c r="G42" i="3"/>
  <c r="G49" i="3"/>
  <c r="D31" i="1"/>
  <c r="D30" i="1"/>
  <c r="C25" i="1"/>
  <c r="F34" i="1"/>
  <c r="G50" i="3" l="1"/>
  <c r="E31" i="1"/>
  <c r="E30" i="1"/>
  <c r="D25" i="1"/>
  <c r="G34" i="1"/>
  <c r="F31" i="1" l="1"/>
  <c r="F30" i="1"/>
  <c r="E25" i="1"/>
  <c r="G31" i="1" l="1"/>
  <c r="G30" i="1"/>
  <c r="F25" i="1"/>
  <c r="C37" i="1" l="1"/>
  <c r="C38" i="1" s="1"/>
  <c r="B37" i="1"/>
  <c r="B38" i="1" s="1"/>
  <c r="G25" i="1"/>
  <c r="D37" i="1" l="1"/>
  <c r="D38" i="1" s="1"/>
</calcChain>
</file>

<file path=xl/sharedStrings.xml><?xml version="1.0" encoding="utf-8"?>
<sst xmlns="http://schemas.openxmlformats.org/spreadsheetml/2006/main" count="87" uniqueCount="49">
  <si>
    <t>Cash</t>
  </si>
  <si>
    <t>Accounts Receivable</t>
  </si>
  <si>
    <t>Inventory</t>
  </si>
  <si>
    <t>Other Current Assets</t>
  </si>
  <si>
    <t>Property</t>
  </si>
  <si>
    <t>Other Long-term Assets</t>
  </si>
  <si>
    <t>Accounts Payable</t>
  </si>
  <si>
    <t>Accrued Expenses</t>
  </si>
  <si>
    <t>Debt</t>
  </si>
  <si>
    <t>Common Stock</t>
  </si>
  <si>
    <t>Additional Paid-in Capital</t>
  </si>
  <si>
    <t>Retained Earnings</t>
  </si>
  <si>
    <t>Sales</t>
  </si>
  <si>
    <t>COGS</t>
  </si>
  <si>
    <t>Margin</t>
  </si>
  <si>
    <t>Overhead</t>
  </si>
  <si>
    <t>Operating Profit</t>
  </si>
  <si>
    <t>Interest Expense</t>
  </si>
  <si>
    <t>Net Income</t>
  </si>
  <si>
    <t>Purchases</t>
  </si>
  <si>
    <t>Depreciation</t>
  </si>
  <si>
    <t>Disposals</t>
  </si>
  <si>
    <t>GainLoss</t>
  </si>
  <si>
    <t>Earnings</t>
  </si>
  <si>
    <t>Distributions</t>
  </si>
  <si>
    <t>Net change in cash</t>
  </si>
  <si>
    <t>Debt-to-equity</t>
  </si>
  <si>
    <t>Days in inventory</t>
  </si>
  <si>
    <t>Days sales</t>
  </si>
  <si>
    <t>Days payables</t>
  </si>
  <si>
    <t>CCC</t>
  </si>
  <si>
    <t>Current Ratio</t>
  </si>
  <si>
    <t>Quick Ratio</t>
  </si>
  <si>
    <t>Return on Equity</t>
  </si>
  <si>
    <t>Return on Assets</t>
  </si>
  <si>
    <t>Gross Margin</t>
  </si>
  <si>
    <t>Operating Margin</t>
  </si>
  <si>
    <t>Net Margin</t>
  </si>
  <si>
    <t>Budgeted Revenue</t>
  </si>
  <si>
    <t>Operating
Profit</t>
  </si>
  <si>
    <t>Interest
Expense</t>
  </si>
  <si>
    <t>Max</t>
  </si>
  <si>
    <t>Current</t>
  </si>
  <si>
    <t>Quick</t>
  </si>
  <si>
    <t>Debt-to-Equity</t>
  </si>
  <si>
    <t>Cash Conv</t>
  </si>
  <si>
    <t>Blank</t>
  </si>
  <si>
    <t>Bottom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</si>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</sst>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_);_(* \(#,##0\);_(* &quot;-&quot;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43" fontId="0" fillId="0" borderId="0" xfId="1" applyFont="1"/>
    <xf numFmtId="43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165" fontId="0" fillId="0" borderId="0" xfId="0" applyNumberFormat="1"/>
    <xf numFmtId="0" fontId="2" fillId="0" borderId="1" xfId="0" applyFont="1" applyBorder="1" applyAlignment="1">
      <alignment horizontal="center"/>
    </xf>
    <xf numFmtId="0" fontId="0" fillId="0" borderId="0" xfId="0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Current Ratio</a:t>
            </a:r>
          </a:p>
        </c:rich>
      </c:tx>
      <c:layout>
        <c:manualLayout>
          <c:xMode val="edge"/>
          <c:yMode val="edge"/>
          <c:x val="0.2891496062992126"/>
          <c:y val="2.96296296296296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0.21333333333333335"/>
          <c:y val="0.1463703703703703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2D-48D7-896E-75F9C2179189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2D-48D7-896E-75F9C2179189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2D-48D7-896E-75F9C2179189}"/>
              </c:ext>
            </c:extLst>
          </c:dPt>
          <c:dLbls>
            <c:dLbl>
              <c:idx val="0"/>
              <c:layout>
                <c:manualLayout>
                  <c:x val="0.13244855643044623"/>
                  <c:y val="0.1442469135802468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6000000000000005"/>
                      <c:h val="0.829629629629629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62D-48D7-896E-75F9C21791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Data!$A$37:$A$39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Data!$B$37:$B$39</c:f>
              <c:numCache>
                <c:formatCode>_(* #,##0.00_);_(* \(#,##0.00\);_(* "-"??_);_(@_)</c:formatCode>
                <c:ptCount val="3"/>
                <c:pt idx="0">
                  <c:v>2.9465721650527175</c:v>
                </c:pt>
                <c:pt idx="1">
                  <c:v>1.0534278349472825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2D-48D7-896E-75F9C2179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Cash Conversion Cycle</a:t>
            </a:r>
          </a:p>
        </c:rich>
      </c:tx>
      <c:layout>
        <c:manualLayout>
          <c:xMode val="edge"/>
          <c:yMode val="edge"/>
          <c:x val="0.16914960629921261"/>
          <c:y val="2.96296296296296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0.21333333333333335"/>
          <c:y val="0.1463703703703703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93E-43C0-B369-C9DD1C31E916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93E-43C0-B369-C9DD1C31E916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93E-43C0-B369-C9DD1C31E916}"/>
              </c:ext>
            </c:extLst>
          </c:dPt>
          <c:dLbls>
            <c:dLbl>
              <c:idx val="0"/>
              <c:layout>
                <c:manualLayout>
                  <c:x val="0.20810892388451449"/>
                  <c:y val="9.437736949547970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6000000000000005"/>
                      <c:h val="0.829629629629629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93E-43C0-B369-C9DD1C31E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Data!$A$37:$A$39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Data!$E$37:$E$39</c:f>
              <c:numCache>
                <c:formatCode>_(* #,##0.00_);_(* \(#,##0.00\);_(* "-"??_);_(@_)</c:formatCode>
                <c:ptCount val="3"/>
                <c:pt idx="0">
                  <c:v>14.75997253873167</c:v>
                </c:pt>
                <c:pt idx="1">
                  <c:v>15.24002746126833</c:v>
                </c:pt>
                <c:pt idx="2">
                  <c:v>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3E-43C0-B369-C9DD1C31E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Debt-to-equity Ratio</a:t>
            </a:r>
          </a:p>
        </c:rich>
      </c:tx>
      <c:layout>
        <c:manualLayout>
          <c:xMode val="edge"/>
          <c:yMode val="edge"/>
          <c:x val="0.1891496062992126"/>
          <c:y val="1.97530864197530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0.21333333333333335"/>
          <c:y val="0.1463703703703703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41-4F24-B9FA-B580A1CDE397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41-4F24-B9FA-B580A1CDE397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41-4F24-B9FA-B580A1CDE397}"/>
              </c:ext>
            </c:extLst>
          </c:dPt>
          <c:dLbls>
            <c:dLbl>
              <c:idx val="0"/>
              <c:layout>
                <c:manualLayout>
                  <c:x val="0.20335249343832026"/>
                  <c:y val="-2.18765432098765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6000000000000005"/>
                      <c:h val="0.829629629629629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641-4F24-B9FA-B580A1CDE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Data!$A$37:$A$39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Data!$D$37:$D$39</c:f>
              <c:numCache>
                <c:formatCode>_(* #,##0.00_);_(* \(#,##0.00\);_(* "-"??_);_(@_)</c:formatCode>
                <c:ptCount val="3"/>
                <c:pt idx="0">
                  <c:v>0.46273459899102209</c:v>
                </c:pt>
                <c:pt idx="1">
                  <c:v>1.5372654010089779</c:v>
                </c:pt>
                <c:pt idx="2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41-4F24-B9FA-B580A1CDE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Quick Ratio</a:t>
            </a:r>
          </a:p>
        </c:rich>
      </c:tx>
      <c:layout>
        <c:manualLayout>
          <c:xMode val="edge"/>
          <c:yMode val="edge"/>
          <c:x val="0.32914960629921258"/>
          <c:y val="2.96296296296296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0.21333333333333335"/>
          <c:y val="0.1463703703703703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C8-42CE-9C66-C8073C226C4B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C8-42CE-9C66-C8073C226C4B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C8-42CE-9C66-C8073C226C4B}"/>
              </c:ext>
            </c:extLst>
          </c:dPt>
          <c:dLbls>
            <c:dLbl>
              <c:idx val="0"/>
              <c:layout>
                <c:manualLayout>
                  <c:x val="0.1996364829396326"/>
                  <c:y val="0.1285890930300378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6000000000000005"/>
                      <c:h val="0.829629629629629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EC8-42CE-9C66-C8073C226C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Data!$A$37:$A$39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Data!$C$37:$C$39</c:f>
              <c:numCache>
                <c:formatCode>_(* #,##0.00_);_(* \(#,##0.00\);_(* "-"??_);_(@_)</c:formatCode>
                <c:ptCount val="3"/>
                <c:pt idx="0">
                  <c:v>2.1460935520374886</c:v>
                </c:pt>
                <c:pt idx="1">
                  <c:v>1.8539064479625114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C8-42CE-9C66-C8073C226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Gross Margin</a:t>
            </a:r>
          </a:p>
        </c:rich>
      </c:tx>
      <c:layout>
        <c:manualLayout>
          <c:xMode val="edge"/>
          <c:yMode val="edge"/>
          <c:x val="0.2891496062992126"/>
          <c:y val="2.96296296296296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0.21333333333333335"/>
          <c:y val="0.1463703703703703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35-49E4-8579-58814EFFE334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E35-49E4-8579-58814EFFE33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E35-49E4-8579-58814EFFE334}"/>
              </c:ext>
            </c:extLst>
          </c:dPt>
          <c:dLbls>
            <c:dLbl>
              <c:idx val="0"/>
              <c:layout>
                <c:manualLayout>
                  <c:x val="0.12666666666666668"/>
                  <c:y val="0.1876543209876543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6700666666666667"/>
                      <c:h val="0.740444444444444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E35-49E4-8579-58814EFFE3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Data!$A$37:$A$39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Data!$F$37:$F$39</c:f>
              <c:numCache>
                <c:formatCode>0.00%</c:formatCode>
                <c:ptCount val="3"/>
                <c:pt idx="0">
                  <c:v>0.3039999948921695</c:v>
                </c:pt>
                <c:pt idx="1">
                  <c:v>9.6000005107830522E-2</c:v>
                </c:pt>
                <c:pt idx="2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E35-49E4-8579-58814EFFE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Net Margin</a:t>
            </a:r>
          </a:p>
        </c:rich>
      </c:tx>
      <c:layout>
        <c:manualLayout>
          <c:xMode val="edge"/>
          <c:yMode val="edge"/>
          <c:x val="0.32914960629921258"/>
          <c:y val="2.96296296296296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333333333333335"/>
          <c:y val="0.16612345679012347"/>
          <c:w val="0.56000000000000005"/>
          <c:h val="0.829629629629629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2-4434-B407-343BAE4AB839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2-4434-B407-343BAE4AB839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72-4434-B407-343BAE4AB839}"/>
              </c:ext>
            </c:extLst>
          </c:dPt>
          <c:dLbls>
            <c:dLbl>
              <c:idx val="0"/>
              <c:layout>
                <c:manualLayout>
                  <c:x val="0.13333333333333333"/>
                  <c:y val="0.1876543209876543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accent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74923307086614177"/>
                      <c:h val="0.7405929814328764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F72-4434-B407-343BAE4AB8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Data!$A$37:$A$39</c:f>
              <c:strCache>
                <c:ptCount val="3"/>
                <c:pt idx="0">
                  <c:v>Value</c:v>
                </c:pt>
                <c:pt idx="1">
                  <c:v>Blank</c:v>
                </c:pt>
                <c:pt idx="2">
                  <c:v>Bottom</c:v>
                </c:pt>
              </c:strCache>
            </c:strRef>
          </c:cat>
          <c:val>
            <c:numRef>
              <c:f>Data!$G$37:$G$39</c:f>
              <c:numCache>
                <c:formatCode>0.00%</c:formatCode>
                <c:ptCount val="3"/>
                <c:pt idx="0">
                  <c:v>4.8999990268702269E-2</c:v>
                </c:pt>
                <c:pt idx="1">
                  <c:v>2.1000009731297738E-2</c:v>
                </c:pt>
                <c:pt idx="2">
                  <c:v>1.7500000000000002E-2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72-4434-B407-343BAE4AB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6"/>
        <c:holeSize val="5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
(in millions)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0,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Data!$C$1:$G$1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Data!$C$16:$G$16</c:f>
              <c:numCache>
                <c:formatCode>_(* #,##0_);_(* \(#,##0\);_(* "-"??_);_(@_)</c:formatCode>
                <c:ptCount val="5"/>
                <c:pt idx="0">
                  <c:v>39261030</c:v>
                </c:pt>
                <c:pt idx="1">
                  <c:v>40046251</c:v>
                </c:pt>
                <c:pt idx="2">
                  <c:v>40046251</c:v>
                </c:pt>
                <c:pt idx="3">
                  <c:v>42449026</c:v>
                </c:pt>
                <c:pt idx="4">
                  <c:v>45420458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3F-4C9A-B08E-07FAEFBB8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281792"/>
        <c:axId val="929282120"/>
      </c:bar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Margin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Data!$C$1:$G$1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Data!$C$33:$G$33</c:f>
              <c:numCache>
                <c:formatCode>0.00%</c:formatCode>
                <c:ptCount val="5"/>
                <c:pt idx="0">
                  <c:v>0.3379999964341231</c:v>
                </c:pt>
                <c:pt idx="1">
                  <c:v>0.31800000454474503</c:v>
                </c:pt>
                <c:pt idx="2">
                  <c:v>0.32200000444486054</c:v>
                </c:pt>
                <c:pt idx="3">
                  <c:v>0.32800001111921862</c:v>
                </c:pt>
                <c:pt idx="4">
                  <c:v>0.3039999948921695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1F-4902-85C2-070958830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281792"/>
        <c:axId val="929282120"/>
      </c:bar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0.00%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Margin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Data!$C$1:$G$1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Data!$C$34:$G$34</c:f>
              <c:numCache>
                <c:formatCode>0.00%</c:formatCode>
                <c:ptCount val="5"/>
                <c:pt idx="0">
                  <c:v>4.5999990321191266E-2</c:v>
                </c:pt>
                <c:pt idx="1">
                  <c:v>3.4000011636544952E-2</c:v>
                </c:pt>
                <c:pt idx="2">
                  <c:v>5.0000011237006932E-2</c:v>
                </c:pt>
                <c:pt idx="3">
                  <c:v>3.5000002120189992E-2</c:v>
                </c:pt>
                <c:pt idx="4">
                  <c:v>4.8999990268702269E-2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2-4C63-9E51-007A6F915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281792"/>
        <c:axId val="929282120"/>
      </c:bar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0.00%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Converstion Cycle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Data!$C$1:$G$1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Data!$C$29:$G$29</c:f>
              <c:numCache>
                <c:formatCode>_(* #,##0.00_);_(* \(#,##0.00\);_(* "-"??_);_(@_)</c:formatCode>
                <c:ptCount val="5"/>
                <c:pt idx="0">
                  <c:v>10.527896943409864</c:v>
                </c:pt>
                <c:pt idx="1">
                  <c:v>11.987645217682136</c:v>
                </c:pt>
                <c:pt idx="2">
                  <c:v>13.706195761655074</c:v>
                </c:pt>
                <c:pt idx="3">
                  <c:v>14.504425293889938</c:v>
                </c:pt>
                <c:pt idx="4">
                  <c:v>14.75997253873167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57-444E-B7B7-89939F93FD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29281792"/>
        <c:axId val="929282120"/>
      </c:line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Debt-to-equity 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Data!$C$1:$G$1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Data!$C$25:$G$25</c:f>
              <c:numCache>
                <c:formatCode>General</c:formatCode>
                <c:ptCount val="5"/>
                <c:pt idx="0">
                  <c:v>1.1242727276935112</c:v>
                </c:pt>
                <c:pt idx="1">
                  <c:v>0.91306750107027157</c:v>
                </c:pt>
                <c:pt idx="2">
                  <c:v>0.72731878005011852</c:v>
                </c:pt>
                <c:pt idx="3">
                  <c:v>0.63237140507658018</c:v>
                </c:pt>
                <c:pt idx="4">
                  <c:v>0.46273459899102209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D6-4523-9750-EC7A7E22B57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29281792"/>
        <c:axId val="929282120"/>
      </c:line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Data!$A$30</c:f>
              <c:strCache>
                <c:ptCount val="1"/>
                <c:pt idx="0">
                  <c:v>Current Ratio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Data!$C$1:$G$1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Data!$C$30:$G$30</c:f>
              <c:numCache>
                <c:formatCode>_(* #,##0.00_);_(* \(#,##0.00\);_(* "-"??_);_(@_)</c:formatCode>
                <c:ptCount val="5"/>
                <c:pt idx="0">
                  <c:v>2.2325666214433717</c:v>
                </c:pt>
                <c:pt idx="1">
                  <c:v>2.3217829837954818</c:v>
                </c:pt>
                <c:pt idx="2">
                  <c:v>2.5902292884433971</c:v>
                </c:pt>
                <c:pt idx="3">
                  <c:v>2.8918051372108788</c:v>
                </c:pt>
                <c:pt idx="4">
                  <c:v>2.9465721650527175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1-43E1-A273-8631410E920D}"/>
            </c:ext>
          </c:extLst>
        </c:ser>
        <c:ser>
          <c:idx val="1"/>
          <c:order val="1"/>
          <c:tx>
            <c:strRef>
              <c:f>Data!$A$31</c:f>
              <c:strCache>
                <c:ptCount val="1"/>
                <c:pt idx="0">
                  <c:v>Quick Ratio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Data!$C$1:$G$1</c:f>
              <c:numCache>
                <c:formatCode>General</c:formatCode>
                <c:ptCount val="5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</c:numCache>
            </c:numRef>
          </c:cat>
          <c:val>
            <c:numRef>
              <c:f>Data!$C$31:$G$31</c:f>
              <c:numCache>
                <c:formatCode>_(* #,##0.00_);_(* \(#,##0.00\);_(* "-"??_);_(@_)</c:formatCode>
                <c:ptCount val="5"/>
                <c:pt idx="0">
                  <c:v>1.5323537044332722</c:v>
                </c:pt>
                <c:pt idx="1">
                  <c:v>1.6056461292606228</c:v>
                </c:pt>
                <c:pt idx="2">
                  <c:v>1.8194114800727681</c:v>
                </c:pt>
                <c:pt idx="3">
                  <c:v>2.1085735033140307</c:v>
                </c:pt>
                <c:pt idx="4">
                  <c:v>2.1460935520374886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1-43E1-A273-8631410E920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29281792"/>
        <c:axId val="929282120"/>
      </c:lineChart>
      <c:catAx>
        <c:axId val="9292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282120"/>
        <c:crosses val="autoZero"/>
        <c:auto val="1"/>
        <c:lblAlgn val="ctr"/>
        <c:lblOffset val="100"/>
        <c:noMultiLvlLbl val="0"/>
      </c:catAx>
      <c:valAx>
        <c:axId val="929282120"/>
        <c:scaling>
          <c:orientation val="minMax"/>
          <c:min val="0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92928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Current Year Income Statement</a:t>
            </a:r>
          </a:p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(in thousands)</a:t>
            </a:r>
          </a:p>
        </cx:rich>
      </cx:tx>
    </cx:title>
    <cx:plotArea>
      <cx:plotAreaRegion>
        <cx:series layoutId="waterfall" uniqueId="{D81DA1C7-2FB2-4CC8-901B-5DD06D296E58}">
          <cx:dataLabels pos="outEnd">
            <cx:numFmt formatCode="* #,###,;* (#,###,)" sourceLinked="0"/>
            <cx:visibility seriesName="0" categoryName="0" value="1"/>
            <cx:separator>, </cx:separator>
          </cx:dataLabels>
          <cx:dataId val="0"/>
          <cx:layoutPr>
            <cx:subtotals>
              <cx:idx val="2"/>
              <cx:idx val="4"/>
              <cx:idx val="6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3</xdr:row>
      <xdr:rowOff>66676</xdr:rowOff>
    </xdr:from>
    <xdr:to>
      <xdr:col>10</xdr:col>
      <xdr:colOff>476250</xdr:colOff>
      <xdr:row>16</xdr:row>
      <xdr:rowOff>142876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Water">
              <a:extLst>
                <a:ext uri="{FF2B5EF4-FFF2-40B4-BE49-F238E27FC236}">
                  <a16:creationId xmlns:a16="http://schemas.microsoft.com/office/drawing/2014/main" id="{56F6B3A0-FC9E-460B-B41E-E430940128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2950" y="638176"/>
              <a:ext cx="5829300" cy="2552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476250</xdr:colOff>
      <xdr:row>3</xdr:row>
      <xdr:rowOff>66676</xdr:rowOff>
    </xdr:from>
    <xdr:to>
      <xdr:col>13</xdr:col>
      <xdr:colOff>590550</xdr:colOff>
      <xdr:row>10</xdr:row>
      <xdr:rowOff>9526</xdr:rowOff>
    </xdr:to>
    <xdr:graphicFrame macro="">
      <xdr:nvGraphicFramePr>
        <xdr:cNvPr id="9" name="CurrentGauge">
          <a:extLst>
            <a:ext uri="{FF2B5EF4-FFF2-40B4-BE49-F238E27FC236}">
              <a16:creationId xmlns:a16="http://schemas.microsoft.com/office/drawing/2014/main" id="{10149453-A465-454E-81F0-F90755403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590550</xdr:colOff>
      <xdr:row>10</xdr:row>
      <xdr:rowOff>9526</xdr:rowOff>
    </xdr:from>
    <xdr:to>
      <xdr:col>17</xdr:col>
      <xdr:colOff>95250</xdr:colOff>
      <xdr:row>16</xdr:row>
      <xdr:rowOff>142876</xdr:rowOff>
    </xdr:to>
    <xdr:graphicFrame macro="">
      <xdr:nvGraphicFramePr>
        <xdr:cNvPr id="10" name="CCCGauge">
          <a:extLst>
            <a:ext uri="{FF2B5EF4-FFF2-40B4-BE49-F238E27FC236}">
              <a16:creationId xmlns:a16="http://schemas.microsoft.com/office/drawing/2014/main" id="{BD8055E6-F19F-4896-8131-BD75302247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476250</xdr:colOff>
      <xdr:row>10</xdr:row>
      <xdr:rowOff>9526</xdr:rowOff>
    </xdr:from>
    <xdr:to>
      <xdr:col>13</xdr:col>
      <xdr:colOff>590550</xdr:colOff>
      <xdr:row>16</xdr:row>
      <xdr:rowOff>142876</xdr:rowOff>
    </xdr:to>
    <xdr:graphicFrame macro="">
      <xdr:nvGraphicFramePr>
        <xdr:cNvPr id="11" name="DtoEGauge">
          <a:extLst>
            <a:ext uri="{FF2B5EF4-FFF2-40B4-BE49-F238E27FC236}">
              <a16:creationId xmlns:a16="http://schemas.microsoft.com/office/drawing/2014/main" id="{0955196F-AB2D-4008-8D0F-CEE12C3BB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590550</xdr:colOff>
      <xdr:row>3</xdr:row>
      <xdr:rowOff>66676</xdr:rowOff>
    </xdr:from>
    <xdr:to>
      <xdr:col>17</xdr:col>
      <xdr:colOff>95250</xdr:colOff>
      <xdr:row>10</xdr:row>
      <xdr:rowOff>9526</xdr:rowOff>
    </xdr:to>
    <xdr:graphicFrame macro="">
      <xdr:nvGraphicFramePr>
        <xdr:cNvPr id="13" name="QuickGauge">
          <a:extLst>
            <a:ext uri="{FF2B5EF4-FFF2-40B4-BE49-F238E27FC236}">
              <a16:creationId xmlns:a16="http://schemas.microsoft.com/office/drawing/2014/main" id="{23E70B9A-D656-4B2F-B327-709B1EC45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95250</xdr:colOff>
      <xdr:row>3</xdr:row>
      <xdr:rowOff>66676</xdr:rowOff>
    </xdr:from>
    <xdr:to>
      <xdr:col>20</xdr:col>
      <xdr:colOff>209550</xdr:colOff>
      <xdr:row>10</xdr:row>
      <xdr:rowOff>9526</xdr:rowOff>
    </xdr:to>
    <xdr:graphicFrame macro="">
      <xdr:nvGraphicFramePr>
        <xdr:cNvPr id="14" name="GrossGauge">
          <a:extLst>
            <a:ext uri="{FF2B5EF4-FFF2-40B4-BE49-F238E27FC236}">
              <a16:creationId xmlns:a16="http://schemas.microsoft.com/office/drawing/2014/main" id="{A6C75817-0D53-4B17-B85A-4B87724ABA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95250</xdr:colOff>
      <xdr:row>10</xdr:row>
      <xdr:rowOff>9526</xdr:rowOff>
    </xdr:from>
    <xdr:to>
      <xdr:col>20</xdr:col>
      <xdr:colOff>209550</xdr:colOff>
      <xdr:row>16</xdr:row>
      <xdr:rowOff>142876</xdr:rowOff>
    </xdr:to>
    <xdr:graphicFrame macro="">
      <xdr:nvGraphicFramePr>
        <xdr:cNvPr id="15" name="NetGauge">
          <a:extLst>
            <a:ext uri="{FF2B5EF4-FFF2-40B4-BE49-F238E27FC236}">
              <a16:creationId xmlns:a16="http://schemas.microsoft.com/office/drawing/2014/main" id="{D2013BA8-082B-4E40-A1BA-7FDB3B29A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133350</xdr:colOff>
      <xdr:row>16</xdr:row>
      <xdr:rowOff>142876</xdr:rowOff>
    </xdr:from>
    <xdr:to>
      <xdr:col>7</xdr:col>
      <xdr:colOff>361950</xdr:colOff>
      <xdr:row>26</xdr:row>
      <xdr:rowOff>152401</xdr:rowOff>
    </xdr:to>
    <xdr:graphicFrame macro="">
      <xdr:nvGraphicFramePr>
        <xdr:cNvPr id="16" name="RevTrend">
          <a:extLst>
            <a:ext uri="{FF2B5EF4-FFF2-40B4-BE49-F238E27FC236}">
              <a16:creationId xmlns:a16="http://schemas.microsoft.com/office/drawing/2014/main" id="{B3CD54B0-C7B7-4CBA-BB30-35301C02FE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361950</xdr:colOff>
      <xdr:row>16</xdr:row>
      <xdr:rowOff>142876</xdr:rowOff>
    </xdr:from>
    <xdr:to>
      <xdr:col>13</xdr:col>
      <xdr:colOff>590550</xdr:colOff>
      <xdr:row>26</xdr:row>
      <xdr:rowOff>152401</xdr:rowOff>
    </xdr:to>
    <xdr:graphicFrame macro="">
      <xdr:nvGraphicFramePr>
        <xdr:cNvPr id="19" name="GrossTrend">
          <a:extLst>
            <a:ext uri="{FF2B5EF4-FFF2-40B4-BE49-F238E27FC236}">
              <a16:creationId xmlns:a16="http://schemas.microsoft.com/office/drawing/2014/main" id="{9F80D583-C220-47EE-B062-1B1732977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590550</xdr:colOff>
      <xdr:row>16</xdr:row>
      <xdr:rowOff>142876</xdr:rowOff>
    </xdr:from>
    <xdr:to>
      <xdr:col>20</xdr:col>
      <xdr:colOff>209550</xdr:colOff>
      <xdr:row>26</xdr:row>
      <xdr:rowOff>152401</xdr:rowOff>
    </xdr:to>
    <xdr:graphicFrame macro="">
      <xdr:nvGraphicFramePr>
        <xdr:cNvPr id="20" name="NetTrend">
          <a:extLst>
            <a:ext uri="{FF2B5EF4-FFF2-40B4-BE49-F238E27FC236}">
              <a16:creationId xmlns:a16="http://schemas.microsoft.com/office/drawing/2014/main" id="{EA6B273B-2C38-4AE7-9F1A-8FC950107E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133350</xdr:colOff>
      <xdr:row>26</xdr:row>
      <xdr:rowOff>152401</xdr:rowOff>
    </xdr:from>
    <xdr:to>
      <xdr:col>7</xdr:col>
      <xdr:colOff>361950</xdr:colOff>
      <xdr:row>36</xdr:row>
      <xdr:rowOff>161926</xdr:rowOff>
    </xdr:to>
    <xdr:graphicFrame macro="">
      <xdr:nvGraphicFramePr>
        <xdr:cNvPr id="21" name="CCCTrend">
          <a:extLst>
            <a:ext uri="{FF2B5EF4-FFF2-40B4-BE49-F238E27FC236}">
              <a16:creationId xmlns:a16="http://schemas.microsoft.com/office/drawing/2014/main" id="{D4E87799-47E5-48EE-B630-F47801A44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361950</xdr:colOff>
      <xdr:row>26</xdr:row>
      <xdr:rowOff>152401</xdr:rowOff>
    </xdr:from>
    <xdr:to>
      <xdr:col>13</xdr:col>
      <xdr:colOff>590550</xdr:colOff>
      <xdr:row>36</xdr:row>
      <xdr:rowOff>161926</xdr:rowOff>
    </xdr:to>
    <xdr:graphicFrame macro="">
      <xdr:nvGraphicFramePr>
        <xdr:cNvPr id="22" name="DtoETrend">
          <a:extLst>
            <a:ext uri="{FF2B5EF4-FFF2-40B4-BE49-F238E27FC236}">
              <a16:creationId xmlns:a16="http://schemas.microsoft.com/office/drawing/2014/main" id="{7D49CA64-EF7C-4874-8A53-A8DA2B85B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590550</xdr:colOff>
      <xdr:row>26</xdr:row>
      <xdr:rowOff>152401</xdr:rowOff>
    </xdr:from>
    <xdr:to>
      <xdr:col>20</xdr:col>
      <xdr:colOff>209550</xdr:colOff>
      <xdr:row>36</xdr:row>
      <xdr:rowOff>161926</xdr:rowOff>
    </xdr:to>
    <xdr:graphicFrame macro="">
      <xdr:nvGraphicFramePr>
        <xdr:cNvPr id="23" name="CurrentTrend">
          <a:extLst>
            <a:ext uri="{FF2B5EF4-FFF2-40B4-BE49-F238E27FC236}">
              <a16:creationId xmlns:a16="http://schemas.microsoft.com/office/drawing/2014/main" id="{4D758B2F-0DAF-4BEA-A549-E07F3F4BA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590550</xdr:colOff>
      <xdr:row>4</xdr:row>
      <xdr:rowOff>85725</xdr:rowOff>
    </xdr:from>
    <xdr:to>
      <xdr:col>9</xdr:col>
      <xdr:colOff>533400</xdr:colOff>
      <xdr:row>17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0563951-4C28-42DA-AF30-20D590E66E7C}"/>
            </a:ext>
          </a:extLst>
        </xdr:cNvPr>
        <xdr:cNvSpPr/>
      </xdr:nvSpPr>
      <xdr:spPr>
        <a:xfrm>
          <a:off x="1809750" y="847725"/>
          <a:ext cx="4210050" cy="2428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Income</a:t>
          </a:r>
          <a:r>
            <a:rPr lang="en-US" sz="1100" baseline="0"/>
            <a:t> Statement Waterfall</a:t>
          </a:r>
        </a:p>
      </xdr:txBody>
    </xdr:sp>
    <xdr:clientData/>
  </xdr:twoCellAnchor>
  <xdr:twoCellAnchor>
    <xdr:from>
      <xdr:col>9</xdr:col>
      <xdr:colOff>581025</xdr:colOff>
      <xdr:row>11</xdr:row>
      <xdr:rowOff>95250</xdr:rowOff>
    </xdr:from>
    <xdr:to>
      <xdr:col>12</xdr:col>
      <xdr:colOff>428625</xdr:colOff>
      <xdr:row>17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C517B69-F253-43C3-9FDE-A680A123AFD0}"/>
            </a:ext>
          </a:extLst>
        </xdr:cNvPr>
        <xdr:cNvSpPr/>
      </xdr:nvSpPr>
      <xdr:spPr>
        <a:xfrm>
          <a:off x="6067425" y="2190750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Debt-to-equity</a:t>
          </a:r>
        </a:p>
      </xdr:txBody>
    </xdr:sp>
    <xdr:clientData/>
  </xdr:twoCellAnchor>
  <xdr:twoCellAnchor>
    <xdr:from>
      <xdr:col>12</xdr:col>
      <xdr:colOff>476250</xdr:colOff>
      <xdr:row>4</xdr:row>
      <xdr:rowOff>171450</xdr:rowOff>
    </xdr:from>
    <xdr:to>
      <xdr:col>15</xdr:col>
      <xdr:colOff>323850</xdr:colOff>
      <xdr:row>11</xdr:row>
      <xdr:rowOff>47625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1CD64AE-D7A7-45F3-911B-E276FFC56B8B}"/>
            </a:ext>
          </a:extLst>
        </xdr:cNvPr>
        <xdr:cNvSpPr/>
      </xdr:nvSpPr>
      <xdr:spPr>
        <a:xfrm>
          <a:off x="7791450" y="933450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Quick Ratio</a:t>
          </a:r>
          <a:endParaRPr lang="en-US" sz="1100" baseline="0"/>
        </a:p>
      </xdr:txBody>
    </xdr:sp>
    <xdr:clientData/>
  </xdr:twoCellAnchor>
  <xdr:twoCellAnchor>
    <xdr:from>
      <xdr:col>9</xdr:col>
      <xdr:colOff>581025</xdr:colOff>
      <xdr:row>4</xdr:row>
      <xdr:rowOff>161925</xdr:rowOff>
    </xdr:from>
    <xdr:to>
      <xdr:col>12</xdr:col>
      <xdr:colOff>428625</xdr:colOff>
      <xdr:row>11</xdr:row>
      <xdr:rowOff>38100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245CD5-4FF0-48D1-BA10-A26B7D182DA4}"/>
            </a:ext>
          </a:extLst>
        </xdr:cNvPr>
        <xdr:cNvSpPr/>
      </xdr:nvSpPr>
      <xdr:spPr>
        <a:xfrm>
          <a:off x="6067425" y="923925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Current Ratio</a:t>
          </a:r>
          <a:endParaRPr lang="en-US" sz="1100" baseline="0"/>
        </a:p>
      </xdr:txBody>
    </xdr:sp>
    <xdr:clientData/>
  </xdr:twoCellAnchor>
  <xdr:twoCellAnchor>
    <xdr:from>
      <xdr:col>12</xdr:col>
      <xdr:colOff>485775</xdr:colOff>
      <xdr:row>11</xdr:row>
      <xdr:rowOff>76200</xdr:rowOff>
    </xdr:from>
    <xdr:to>
      <xdr:col>15</xdr:col>
      <xdr:colOff>333375</xdr:colOff>
      <xdr:row>17</xdr:row>
      <xdr:rowOff>142875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A469767-DBDE-4FB0-8424-4C0DB8D3F973}"/>
            </a:ext>
          </a:extLst>
        </xdr:cNvPr>
        <xdr:cNvSpPr/>
      </xdr:nvSpPr>
      <xdr:spPr>
        <a:xfrm>
          <a:off x="7800975" y="2171700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Cash Conversion</a:t>
          </a:r>
          <a:endParaRPr lang="en-US" sz="1100" baseline="0"/>
        </a:p>
      </xdr:txBody>
    </xdr:sp>
    <xdr:clientData/>
  </xdr:twoCellAnchor>
  <xdr:twoCellAnchor>
    <xdr:from>
      <xdr:col>2</xdr:col>
      <xdr:colOff>600074</xdr:colOff>
      <xdr:row>17</xdr:row>
      <xdr:rowOff>133350</xdr:rowOff>
    </xdr:from>
    <xdr:to>
      <xdr:col>8</xdr:col>
      <xdr:colOff>76199</xdr:colOff>
      <xdr:row>25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B7C26E0-E108-47F7-BB60-9178C5D7FC9E}"/>
            </a:ext>
          </a:extLst>
        </xdr:cNvPr>
        <xdr:cNvSpPr/>
      </xdr:nvSpPr>
      <xdr:spPr>
        <a:xfrm>
          <a:off x="1819274" y="3371850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Revenue Last</a:t>
          </a:r>
          <a:r>
            <a:rPr lang="en-US" sz="1100" baseline="0"/>
            <a:t> Five Years</a:t>
          </a:r>
        </a:p>
      </xdr:txBody>
    </xdr:sp>
    <xdr:clientData/>
  </xdr:twoCellAnchor>
  <xdr:twoCellAnchor>
    <xdr:from>
      <xdr:col>8</xdr:col>
      <xdr:colOff>190499</xdr:colOff>
      <xdr:row>18</xdr:row>
      <xdr:rowOff>19050</xdr:rowOff>
    </xdr:from>
    <xdr:to>
      <xdr:col>13</xdr:col>
      <xdr:colOff>276224</xdr:colOff>
      <xdr:row>26</xdr:row>
      <xdr:rowOff>57150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24AEBD5-1875-4252-8AEE-6B596AF327EC}"/>
            </a:ext>
          </a:extLst>
        </xdr:cNvPr>
        <xdr:cNvSpPr/>
      </xdr:nvSpPr>
      <xdr:spPr>
        <a:xfrm>
          <a:off x="5067299" y="3448050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Gross Margin Last Five Years</a:t>
          </a:r>
          <a:endParaRPr lang="en-US" sz="1100" baseline="0"/>
        </a:p>
      </xdr:txBody>
    </xdr:sp>
    <xdr:clientData/>
  </xdr:twoCellAnchor>
  <xdr:twoCellAnchor>
    <xdr:from>
      <xdr:col>13</xdr:col>
      <xdr:colOff>390524</xdr:colOff>
      <xdr:row>18</xdr:row>
      <xdr:rowOff>0</xdr:rowOff>
    </xdr:from>
    <xdr:to>
      <xdr:col>18</xdr:col>
      <xdr:colOff>476249</xdr:colOff>
      <xdr:row>26</xdr:row>
      <xdr:rowOff>38100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F3FF170C-A7BD-4ADE-9F54-B8C32E7A225B}"/>
            </a:ext>
          </a:extLst>
        </xdr:cNvPr>
        <xdr:cNvSpPr/>
      </xdr:nvSpPr>
      <xdr:spPr>
        <a:xfrm>
          <a:off x="8315324" y="3429000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Net Margin Last Five Years</a:t>
          </a:r>
          <a:endParaRPr lang="en-US" sz="1100" baseline="0"/>
        </a:p>
      </xdr:txBody>
    </xdr:sp>
    <xdr:clientData/>
  </xdr:twoCellAnchor>
  <xdr:twoCellAnchor>
    <xdr:from>
      <xdr:col>2</xdr:col>
      <xdr:colOff>561974</xdr:colOff>
      <xdr:row>26</xdr:row>
      <xdr:rowOff>85725</xdr:rowOff>
    </xdr:from>
    <xdr:to>
      <xdr:col>8</xdr:col>
      <xdr:colOff>38099</xdr:colOff>
      <xdr:row>34</xdr:row>
      <xdr:rowOff>123825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B9AD525-EF5F-463F-8D82-3B04CB84A2B2}"/>
            </a:ext>
          </a:extLst>
        </xdr:cNvPr>
        <xdr:cNvSpPr/>
      </xdr:nvSpPr>
      <xdr:spPr>
        <a:xfrm>
          <a:off x="1781174" y="5038725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Cash Converstion</a:t>
          </a:r>
          <a:r>
            <a:rPr lang="en-US" sz="1100" baseline="0"/>
            <a:t> Last Five Years</a:t>
          </a:r>
        </a:p>
      </xdr:txBody>
    </xdr:sp>
    <xdr:clientData/>
  </xdr:twoCellAnchor>
  <xdr:twoCellAnchor>
    <xdr:from>
      <xdr:col>8</xdr:col>
      <xdr:colOff>209549</xdr:colOff>
      <xdr:row>26</xdr:row>
      <xdr:rowOff>161925</xdr:rowOff>
    </xdr:from>
    <xdr:to>
      <xdr:col>13</xdr:col>
      <xdr:colOff>295274</xdr:colOff>
      <xdr:row>35</xdr:row>
      <xdr:rowOff>9525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C648000-680D-4CDD-8D43-51C485A257B3}"/>
            </a:ext>
          </a:extLst>
        </xdr:cNvPr>
        <xdr:cNvSpPr/>
      </xdr:nvSpPr>
      <xdr:spPr>
        <a:xfrm>
          <a:off x="5086349" y="5114925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Debt-to-Equity</a:t>
          </a:r>
          <a:r>
            <a:rPr lang="en-US" sz="1100" baseline="0"/>
            <a:t> Last Five Years</a:t>
          </a:r>
        </a:p>
      </xdr:txBody>
    </xdr:sp>
    <xdr:clientData/>
  </xdr:twoCellAnchor>
  <xdr:twoCellAnchor>
    <xdr:from>
      <xdr:col>13</xdr:col>
      <xdr:colOff>457199</xdr:colOff>
      <xdr:row>26</xdr:row>
      <xdr:rowOff>142875</xdr:rowOff>
    </xdr:from>
    <xdr:to>
      <xdr:col>18</xdr:col>
      <xdr:colOff>542924</xdr:colOff>
      <xdr:row>34</xdr:row>
      <xdr:rowOff>180975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3AC6339-A38A-4D7A-AD05-F8287BB48DE9}"/>
            </a:ext>
          </a:extLst>
        </xdr:cNvPr>
        <xdr:cNvSpPr/>
      </xdr:nvSpPr>
      <xdr:spPr>
        <a:xfrm>
          <a:off x="8381999" y="5095875"/>
          <a:ext cx="3133725" cy="156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Current/Quick Last Five</a:t>
          </a:r>
          <a:r>
            <a:rPr lang="en-US" sz="1100" baseline="0"/>
            <a:t> Years</a:t>
          </a:r>
        </a:p>
      </xdr:txBody>
    </xdr:sp>
    <xdr:clientData/>
  </xdr:twoCellAnchor>
  <xdr:twoCellAnchor>
    <xdr:from>
      <xdr:col>15</xdr:col>
      <xdr:colOff>438150</xdr:colOff>
      <xdr:row>4</xdr:row>
      <xdr:rowOff>133350</xdr:rowOff>
    </xdr:from>
    <xdr:to>
      <xdr:col>18</xdr:col>
      <xdr:colOff>285750</xdr:colOff>
      <xdr:row>11</xdr:row>
      <xdr:rowOff>9525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969F0246-20A0-43E0-B59B-668A85E4C8C4}"/>
            </a:ext>
          </a:extLst>
        </xdr:cNvPr>
        <xdr:cNvSpPr/>
      </xdr:nvSpPr>
      <xdr:spPr>
        <a:xfrm>
          <a:off x="9582150" y="895350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Gross Margin</a:t>
          </a:r>
          <a:endParaRPr lang="en-US" sz="1100" baseline="0"/>
        </a:p>
      </xdr:txBody>
    </xdr:sp>
    <xdr:clientData/>
  </xdr:twoCellAnchor>
  <xdr:twoCellAnchor>
    <xdr:from>
      <xdr:col>15</xdr:col>
      <xdr:colOff>447675</xdr:colOff>
      <xdr:row>11</xdr:row>
      <xdr:rowOff>57150</xdr:rowOff>
    </xdr:from>
    <xdr:to>
      <xdr:col>18</xdr:col>
      <xdr:colOff>295275</xdr:colOff>
      <xdr:row>17</xdr:row>
      <xdr:rowOff>123825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96FC81FA-D4C0-4E47-90CC-A697E1F76634}"/>
            </a:ext>
          </a:extLst>
        </xdr:cNvPr>
        <xdr:cNvSpPr/>
      </xdr:nvSpPr>
      <xdr:spPr>
        <a:xfrm>
          <a:off x="9591675" y="2152650"/>
          <a:ext cx="16764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Net Margin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15128-69B2-4F4A-A81B-38EBEFB49133}">
  <sheetPr codeName="Sheet4"/>
  <dimension ref="A1"/>
  <sheetViews>
    <sheetView showGridLines="0"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64A-19ED-495B-B4F0-BB5B4F8E3E17}">
  <sheetPr codeName="Sheet2"/>
  <dimension ref="A1:M40"/>
  <sheetViews>
    <sheetView workbookViewId="0"/>
  </sheetViews>
  <sheetFormatPr defaultRowHeight="15" x14ac:dyDescent="0.25"/>
  <cols>
    <col min="1" max="1" width="24" bestFit="1" customWidth="1"/>
    <col min="2" max="2" width="14" bestFit="1" customWidth="1"/>
    <col min="3" max="5" width="15" bestFit="1" customWidth="1"/>
    <col min="6" max="6" width="15" customWidth="1"/>
    <col min="7" max="7" width="15" bestFit="1" customWidth="1"/>
  </cols>
  <sheetData>
    <row r="1" spans="1:13" x14ac:dyDescent="0.25">
      <c r="B1" s="8">
        <f t="shared" ref="B1:E1" si="0">C1-1</f>
        <v>2015</v>
      </c>
      <c r="C1" s="8">
        <f t="shared" si="0"/>
        <v>2016</v>
      </c>
      <c r="D1" s="8">
        <f t="shared" si="0"/>
        <v>2017</v>
      </c>
      <c r="E1" s="8">
        <f t="shared" si="0"/>
        <v>2018</v>
      </c>
      <c r="F1" s="8">
        <f>G1-1</f>
        <v>2019</v>
      </c>
      <c r="G1" s="8">
        <v>2020</v>
      </c>
    </row>
    <row r="2" spans="1:13" x14ac:dyDescent="0.25">
      <c r="A2" t="s">
        <v>0</v>
      </c>
      <c r="B2" s="5">
        <v>683994</v>
      </c>
      <c r="C2" s="5">
        <v>1453502</v>
      </c>
      <c r="D2" s="5">
        <v>1443111</v>
      </c>
      <c r="E2" s="5">
        <v>1897996</v>
      </c>
      <c r="F2" s="5">
        <v>2418683</v>
      </c>
      <c r="G2" s="5">
        <v>2546219</v>
      </c>
      <c r="H2" s="1"/>
      <c r="I2" s="1"/>
      <c r="J2" s="1"/>
      <c r="K2" s="1"/>
      <c r="L2" s="1"/>
      <c r="M2" s="1"/>
    </row>
    <row r="3" spans="1:13" x14ac:dyDescent="0.25">
      <c r="A3" t="s">
        <v>1</v>
      </c>
      <c r="B3" s="5">
        <v>3068493</v>
      </c>
      <c r="C3" s="5">
        <v>3105048</v>
      </c>
      <c r="D3" s="5">
        <v>3174708</v>
      </c>
      <c r="E3" s="5">
        <v>3170586</v>
      </c>
      <c r="F3" s="5">
        <v>3272631</v>
      </c>
      <c r="G3" s="5">
        <v>3289239</v>
      </c>
      <c r="H3" s="1"/>
      <c r="I3" s="1"/>
      <c r="J3" s="1"/>
      <c r="K3" s="1"/>
      <c r="L3" s="1"/>
      <c r="M3" s="1"/>
    </row>
    <row r="4" spans="1:13" x14ac:dyDescent="0.25">
      <c r="A4" t="s">
        <v>2</v>
      </c>
      <c r="B4" s="5">
        <v>1523461</v>
      </c>
      <c r="C4" s="5">
        <v>1464310</v>
      </c>
      <c r="D4" s="5">
        <v>1448988</v>
      </c>
      <c r="E4" s="5">
        <v>1512308</v>
      </c>
      <c r="F4" s="5">
        <v>1493221</v>
      </c>
      <c r="G4" s="5">
        <v>1547914</v>
      </c>
      <c r="H4" s="1"/>
      <c r="I4" s="1"/>
      <c r="J4" s="1"/>
      <c r="K4" s="1"/>
      <c r="L4" s="1"/>
      <c r="M4" s="1"/>
    </row>
    <row r="5" spans="1:13" x14ac:dyDescent="0.25">
      <c r="A5" t="s">
        <v>3</v>
      </c>
      <c r="B5" s="5">
        <v>621453</v>
      </c>
      <c r="C5" s="5">
        <v>618731</v>
      </c>
      <c r="D5" s="5">
        <v>610613</v>
      </c>
      <c r="E5" s="5">
        <v>635064</v>
      </c>
      <c r="F5" s="5">
        <v>620823</v>
      </c>
      <c r="G5" s="5">
        <v>628673</v>
      </c>
      <c r="H5" s="1"/>
      <c r="I5" s="1"/>
      <c r="J5" s="1"/>
      <c r="K5" s="1"/>
      <c r="L5" s="1"/>
      <c r="M5" s="1"/>
    </row>
    <row r="6" spans="1:13" x14ac:dyDescent="0.25">
      <c r="A6" t="s">
        <v>4</v>
      </c>
      <c r="B6" s="5">
        <v>3648732</v>
      </c>
      <c r="C6" s="5">
        <v>3620934</v>
      </c>
      <c r="D6" s="5">
        <v>3947334</v>
      </c>
      <c r="E6" s="5">
        <v>4156194</v>
      </c>
      <c r="F6" s="5">
        <v>4109664</v>
      </c>
      <c r="G6" s="5">
        <v>4448519</v>
      </c>
      <c r="H6" s="1"/>
      <c r="I6" s="1"/>
      <c r="J6" s="1"/>
      <c r="K6" s="1"/>
      <c r="L6" s="1"/>
      <c r="M6" s="1"/>
    </row>
    <row r="7" spans="1:13" x14ac:dyDescent="0.25">
      <c r="A7" t="s">
        <v>5</v>
      </c>
      <c r="B7" s="5">
        <v>50243</v>
      </c>
      <c r="C7" s="5">
        <v>55427</v>
      </c>
      <c r="D7" s="5">
        <v>62434</v>
      </c>
      <c r="E7" s="5">
        <v>57433</v>
      </c>
      <c r="F7" s="5">
        <v>68333</v>
      </c>
      <c r="G7" s="5">
        <v>75461</v>
      </c>
      <c r="H7" s="1"/>
      <c r="I7" s="1"/>
      <c r="J7" s="1"/>
      <c r="K7" s="1"/>
      <c r="L7" s="1"/>
      <c r="M7" s="1"/>
    </row>
    <row r="8" spans="1:13" x14ac:dyDescent="0.25">
      <c r="A8" t="s">
        <v>6</v>
      </c>
      <c r="B8" s="5">
        <v>-2836512</v>
      </c>
      <c r="C8" s="5">
        <v>-2738809</v>
      </c>
      <c r="D8" s="5">
        <v>-2663304</v>
      </c>
      <c r="E8" s="5">
        <v>-2560968</v>
      </c>
      <c r="F8" s="5">
        <v>-2507282</v>
      </c>
      <c r="G8" s="5">
        <v>-2544193</v>
      </c>
      <c r="H8" s="1"/>
      <c r="I8" s="1"/>
      <c r="J8" s="1"/>
      <c r="K8" s="1"/>
      <c r="L8" s="1"/>
      <c r="M8" s="1"/>
    </row>
    <row r="9" spans="1:13" x14ac:dyDescent="0.25">
      <c r="A9" t="s">
        <v>7</v>
      </c>
      <c r="B9" s="5">
        <v>-200148</v>
      </c>
      <c r="C9" s="5">
        <v>-236059</v>
      </c>
      <c r="D9" s="5">
        <v>-212684</v>
      </c>
      <c r="E9" s="5">
        <v>-224868</v>
      </c>
      <c r="F9" s="5">
        <v>-191848</v>
      </c>
      <c r="G9" s="5">
        <v>-174914</v>
      </c>
      <c r="H9" s="1"/>
      <c r="I9" s="1"/>
      <c r="J9" s="1"/>
      <c r="K9" s="1"/>
      <c r="L9" s="1"/>
      <c r="M9" s="1"/>
    </row>
    <row r="10" spans="1:13" x14ac:dyDescent="0.25">
      <c r="A10" t="s">
        <v>8</v>
      </c>
      <c r="B10" s="5">
        <v>-3861487</v>
      </c>
      <c r="C10" s="5">
        <v>-3886332</v>
      </c>
      <c r="D10" s="5">
        <v>-3728124</v>
      </c>
      <c r="E10" s="5">
        <v>-3639605</v>
      </c>
      <c r="F10" s="5">
        <v>-3596656</v>
      </c>
      <c r="G10" s="5">
        <v>-3105572</v>
      </c>
      <c r="H10" s="1"/>
      <c r="I10" s="1"/>
      <c r="J10" s="1"/>
      <c r="K10" s="1"/>
      <c r="L10" s="1"/>
      <c r="M10" s="1"/>
    </row>
    <row r="11" spans="1:13" x14ac:dyDescent="0.25">
      <c r="A11" t="s">
        <v>9</v>
      </c>
      <c r="B11" s="5">
        <v>-100000</v>
      </c>
      <c r="C11" s="5">
        <v>-100000</v>
      </c>
      <c r="D11" s="5">
        <v>-100000</v>
      </c>
      <c r="E11" s="5">
        <v>-100000</v>
      </c>
      <c r="F11" s="5">
        <v>-100000</v>
      </c>
      <c r="G11" s="5">
        <v>-100000</v>
      </c>
      <c r="H11" s="1"/>
      <c r="I11" s="1"/>
      <c r="J11" s="1"/>
      <c r="K11" s="1"/>
      <c r="L11" s="1"/>
      <c r="M11" s="1"/>
    </row>
    <row r="12" spans="1:13" x14ac:dyDescent="0.25">
      <c r="A12" t="s">
        <v>10</v>
      </c>
      <c r="B12" s="5">
        <v>-1547889</v>
      </c>
      <c r="C12" s="5">
        <v>-1547889</v>
      </c>
      <c r="D12" s="5">
        <v>-1547889</v>
      </c>
      <c r="E12" s="5">
        <v>-1547889</v>
      </c>
      <c r="F12" s="5">
        <v>-1547889</v>
      </c>
      <c r="G12" s="5">
        <v>-1547889</v>
      </c>
      <c r="H12" s="1"/>
      <c r="I12" s="1"/>
      <c r="J12" s="1"/>
      <c r="K12" s="1"/>
      <c r="L12" s="1"/>
      <c r="M12" s="1"/>
    </row>
    <row r="13" spans="1:13" x14ac:dyDescent="0.25">
      <c r="A13" t="s">
        <v>11</v>
      </c>
      <c r="B13" s="5">
        <v>-1050340</v>
      </c>
      <c r="C13" s="5">
        <v>-1808863</v>
      </c>
      <c r="D13" s="5">
        <v>-2435187</v>
      </c>
      <c r="E13" s="5">
        <v>-3356251</v>
      </c>
      <c r="F13" s="5">
        <v>-4039680</v>
      </c>
      <c r="G13" s="5">
        <v>-5063457</v>
      </c>
      <c r="H13" s="1"/>
      <c r="I13" s="1"/>
      <c r="J13" s="1"/>
      <c r="K13" s="1"/>
      <c r="L13" s="1"/>
      <c r="M13" s="1"/>
    </row>
    <row r="14" spans="1:13" x14ac:dyDescent="0.25"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2"/>
      <c r="I14" s="2"/>
      <c r="J14" s="2"/>
      <c r="K14" s="2"/>
      <c r="L14" s="2"/>
      <c r="M14" s="2"/>
    </row>
    <row r="15" spans="1:13" x14ac:dyDescent="0.25">
      <c r="B15" s="6"/>
      <c r="C15" s="6"/>
      <c r="D15" s="6"/>
      <c r="E15" s="6"/>
      <c r="F15" s="6"/>
      <c r="G15" s="6"/>
    </row>
    <row r="16" spans="1:13" x14ac:dyDescent="0.25">
      <c r="A16" t="s">
        <v>12</v>
      </c>
      <c r="B16" s="6"/>
      <c r="C16" s="5">
        <v>39261030</v>
      </c>
      <c r="D16" s="5">
        <v>40046251</v>
      </c>
      <c r="E16" s="5">
        <v>40046251</v>
      </c>
      <c r="F16" s="5">
        <v>42449026</v>
      </c>
      <c r="G16" s="5">
        <v>45420458</v>
      </c>
      <c r="H16" s="2"/>
      <c r="I16" s="2"/>
      <c r="J16" s="2"/>
      <c r="K16" s="2"/>
      <c r="L16" s="2"/>
      <c r="M16" s="2"/>
    </row>
    <row r="17" spans="1:13" x14ac:dyDescent="0.25">
      <c r="A17" t="s">
        <v>13</v>
      </c>
      <c r="B17" s="6"/>
      <c r="C17" s="5">
        <v>-25990802</v>
      </c>
      <c r="D17" s="5">
        <v>-27311543</v>
      </c>
      <c r="E17" s="5">
        <v>-27151358</v>
      </c>
      <c r="F17" s="5">
        <v>-28525745</v>
      </c>
      <c r="G17" s="5">
        <v>-31612639</v>
      </c>
      <c r="H17" s="2"/>
      <c r="I17" s="2"/>
      <c r="J17" s="2"/>
      <c r="K17" s="2"/>
      <c r="L17" s="2"/>
      <c r="M17" s="2"/>
    </row>
    <row r="18" spans="1:13" x14ac:dyDescent="0.25">
      <c r="A18" t="s">
        <v>14</v>
      </c>
      <c r="B18" s="5"/>
      <c r="C18" s="5">
        <v>13270228</v>
      </c>
      <c r="D18" s="5">
        <v>12734708</v>
      </c>
      <c r="E18" s="5">
        <v>12894893</v>
      </c>
      <c r="F18" s="5">
        <v>13923281</v>
      </c>
      <c r="G18" s="5">
        <v>13807819</v>
      </c>
      <c r="H18" s="1"/>
      <c r="I18" s="1"/>
      <c r="J18" s="1"/>
      <c r="K18" s="1"/>
      <c r="L18" s="1"/>
      <c r="M18" s="1"/>
    </row>
    <row r="19" spans="1:13" x14ac:dyDescent="0.25">
      <c r="A19" t="s">
        <v>15</v>
      </c>
      <c r="B19" s="6"/>
      <c r="C19" s="5">
        <v>-11268350</v>
      </c>
      <c r="D19" s="5">
        <v>-11204624</v>
      </c>
      <c r="E19" s="5">
        <v>-10702229</v>
      </c>
      <c r="F19" s="5">
        <v>-12245144</v>
      </c>
      <c r="G19" s="5">
        <v>-11415137</v>
      </c>
      <c r="H19" s="2"/>
      <c r="I19" s="2"/>
      <c r="J19" s="2"/>
      <c r="K19" s="2"/>
      <c r="L19" s="2"/>
      <c r="M19" s="2"/>
    </row>
    <row r="20" spans="1:13" ht="30" x14ac:dyDescent="0.25">
      <c r="A20" s="9" t="s">
        <v>39</v>
      </c>
      <c r="B20" s="5"/>
      <c r="C20" s="5">
        <v>2001878</v>
      </c>
      <c r="D20" s="5">
        <v>1530084</v>
      </c>
      <c r="E20" s="5">
        <v>2192664</v>
      </c>
      <c r="F20" s="5">
        <v>1678137</v>
      </c>
      <c r="G20" s="5">
        <v>2392682</v>
      </c>
      <c r="H20" s="1"/>
      <c r="I20" s="1"/>
      <c r="J20" s="1"/>
      <c r="K20" s="1"/>
      <c r="L20" s="1"/>
      <c r="M20" s="1"/>
    </row>
    <row r="21" spans="1:13" ht="30" x14ac:dyDescent="0.25">
      <c r="A21" s="9" t="s">
        <v>40</v>
      </c>
      <c r="B21" s="5"/>
      <c r="C21" s="5">
        <v>-195871</v>
      </c>
      <c r="D21" s="5">
        <v>-168511</v>
      </c>
      <c r="E21" s="5">
        <v>-190351</v>
      </c>
      <c r="F21" s="5">
        <v>-192421</v>
      </c>
      <c r="G21" s="5">
        <v>-167080</v>
      </c>
      <c r="H21" s="1"/>
      <c r="I21" s="1"/>
      <c r="J21" s="1"/>
      <c r="K21" s="1"/>
      <c r="L21" s="1"/>
      <c r="M21" s="1"/>
    </row>
    <row r="22" spans="1:13" x14ac:dyDescent="0.25">
      <c r="A22" t="s">
        <v>18</v>
      </c>
      <c r="B22" s="5"/>
      <c r="C22" s="5">
        <v>1806007</v>
      </c>
      <c r="D22" s="5">
        <v>1361573</v>
      </c>
      <c r="E22" s="5">
        <v>2002313</v>
      </c>
      <c r="F22" s="5">
        <v>1485716</v>
      </c>
      <c r="G22" s="5">
        <v>2225602</v>
      </c>
      <c r="H22" s="1"/>
      <c r="I22" s="1"/>
      <c r="J22" s="1"/>
      <c r="K22" s="1"/>
      <c r="L22" s="1"/>
      <c r="M22" s="1"/>
    </row>
    <row r="23" spans="1:13" x14ac:dyDescent="0.25">
      <c r="A23" t="s">
        <v>38</v>
      </c>
      <c r="C23" s="5">
        <v>0</v>
      </c>
      <c r="D23" s="5">
        <v>41224000</v>
      </c>
      <c r="E23" s="5">
        <v>42049000</v>
      </c>
      <c r="F23" s="5">
        <v>42049000</v>
      </c>
      <c r="G23" s="5">
        <v>44571000</v>
      </c>
      <c r="H23" s="1"/>
      <c r="I23" s="1"/>
      <c r="J23" s="1"/>
      <c r="K23" s="1"/>
      <c r="L23" s="1"/>
      <c r="M23" s="1"/>
    </row>
    <row r="25" spans="1:13" x14ac:dyDescent="0.25">
      <c r="A25" t="s">
        <v>26</v>
      </c>
      <c r="C25">
        <f>C10/SUM(C11:C13)</f>
        <v>1.1242727276935112</v>
      </c>
      <c r="D25">
        <f>D10/SUM(D11:D13)</f>
        <v>0.91306750107027157</v>
      </c>
      <c r="E25">
        <f>E10/SUM(E11:E13)</f>
        <v>0.72731878005011852</v>
      </c>
      <c r="F25">
        <f>F10/SUM(F11:F13)</f>
        <v>0.63237140507658018</v>
      </c>
      <c r="G25">
        <f>G10/SUM(G11:G13)</f>
        <v>0.46273459899102209</v>
      </c>
    </row>
    <row r="26" spans="1:13" x14ac:dyDescent="0.25">
      <c r="A26" t="s">
        <v>27</v>
      </c>
      <c r="C26" s="2">
        <f>AVERAGE(B4:C4)/-C17*365</f>
        <v>20.979275956932764</v>
      </c>
      <c r="D26" s="2">
        <f t="shared" ref="D26:G26" si="1">AVERAGE(C4:D4)/-D17*365</f>
        <v>19.467112678327986</v>
      </c>
      <c r="E26" s="2">
        <f t="shared" si="1"/>
        <v>19.904585251315975</v>
      </c>
      <c r="F26" s="2">
        <f t="shared" si="1"/>
        <v>19.228561515220726</v>
      </c>
      <c r="G26" s="2">
        <f t="shared" si="1"/>
        <v>17.556494967092117</v>
      </c>
    </row>
    <row r="27" spans="1:13" x14ac:dyDescent="0.25">
      <c r="A27" t="s">
        <v>28</v>
      </c>
      <c r="C27" s="2">
        <f>AVERAGE(B3:C3)/C16*365</f>
        <v>28.696935167009119</v>
      </c>
      <c r="D27" s="2">
        <f t="shared" ref="D27:G27" si="2">AVERAGE(C3:D3)/D16*365</f>
        <v>28.618296129642697</v>
      </c>
      <c r="E27" s="2">
        <f t="shared" si="2"/>
        <v>28.916967907932253</v>
      </c>
      <c r="F27" s="2">
        <f t="shared" si="2"/>
        <v>27.701156264457044</v>
      </c>
      <c r="G27" s="2">
        <f t="shared" si="2"/>
        <v>26.365680306438126</v>
      </c>
    </row>
    <row r="28" spans="1:13" x14ac:dyDescent="0.25">
      <c r="A28" t="s">
        <v>29</v>
      </c>
      <c r="C28" s="2">
        <f>AVERAGE(B8:C8)/C17*365</f>
        <v>39.148314180532019</v>
      </c>
      <c r="D28" s="2">
        <f t="shared" ref="D28:G28" si="3">AVERAGE(C8:D8)/D17*365</f>
        <v>36.097763590288544</v>
      </c>
      <c r="E28" s="2">
        <f t="shared" si="3"/>
        <v>35.115357397593151</v>
      </c>
      <c r="F28" s="2">
        <f t="shared" si="3"/>
        <v>32.425292485787836</v>
      </c>
      <c r="G28" s="2">
        <f t="shared" si="3"/>
        <v>29.162202734798573</v>
      </c>
    </row>
    <row r="29" spans="1:13" x14ac:dyDescent="0.25">
      <c r="A29" t="s">
        <v>30</v>
      </c>
      <c r="C29" s="2">
        <f>C26+C27-C28</f>
        <v>10.527896943409864</v>
      </c>
      <c r="D29" s="2">
        <f t="shared" ref="D29:G29" si="4">D26+D27-D28</f>
        <v>11.987645217682136</v>
      </c>
      <c r="E29" s="2">
        <f t="shared" si="4"/>
        <v>13.706195761655074</v>
      </c>
      <c r="F29" s="2">
        <f t="shared" si="4"/>
        <v>14.504425293889938</v>
      </c>
      <c r="G29" s="2">
        <f t="shared" si="4"/>
        <v>14.75997253873167</v>
      </c>
    </row>
    <row r="30" spans="1:13" x14ac:dyDescent="0.25">
      <c r="A30" t="s">
        <v>31</v>
      </c>
      <c r="C30" s="2">
        <f>-SUM(C2:C5)/SUM(C8:C9)</f>
        <v>2.2325666214433717</v>
      </c>
      <c r="D30" s="2">
        <f>-SUM(D2:D5)/SUM(D8:D9)</f>
        <v>2.3217829837954818</v>
      </c>
      <c r="E30" s="2">
        <f>-SUM(E2:E5)/SUM(E8:E9)</f>
        <v>2.5902292884433971</v>
      </c>
      <c r="F30" s="2">
        <f>-SUM(F2:F5)/SUM(F8:F9)</f>
        <v>2.8918051372108788</v>
      </c>
      <c r="G30" s="2">
        <f>-SUM(G2:G5)/SUM(G8:G9)</f>
        <v>2.9465721650527175</v>
      </c>
    </row>
    <row r="31" spans="1:13" x14ac:dyDescent="0.25">
      <c r="A31" t="s">
        <v>32</v>
      </c>
      <c r="C31" s="2">
        <f>-SUM(C2:C3)/SUM(C8:C9)</f>
        <v>1.5323537044332722</v>
      </c>
      <c r="D31" s="2">
        <f>-SUM(D2:D3)/SUM(D8:D9)</f>
        <v>1.6056461292606228</v>
      </c>
      <c r="E31" s="2">
        <f>-SUM(E2:E3)/SUM(E8:E9)</f>
        <v>1.8194114800727681</v>
      </c>
      <c r="F31" s="2">
        <f>-SUM(F2:F3)/SUM(F8:F9)</f>
        <v>2.1085735033140307</v>
      </c>
      <c r="G31" s="2">
        <f>-SUM(G2:G3)/SUM(G8:G9)</f>
        <v>2.1460935520374886</v>
      </c>
    </row>
    <row r="33" spans="1:7" x14ac:dyDescent="0.25">
      <c r="A33" t="s">
        <v>35</v>
      </c>
      <c r="C33" s="3">
        <f>C18/C16</f>
        <v>0.3379999964341231</v>
      </c>
      <c r="D33" s="3">
        <f>D18/D16</f>
        <v>0.31800000454474503</v>
      </c>
      <c r="E33" s="3">
        <f>E18/E16</f>
        <v>0.32200000444486054</v>
      </c>
      <c r="F33" s="3">
        <f>F18/F16</f>
        <v>0.32800001111921862</v>
      </c>
      <c r="G33" s="3">
        <f>G18/G16</f>
        <v>0.3039999948921695</v>
      </c>
    </row>
    <row r="34" spans="1:7" x14ac:dyDescent="0.25">
      <c r="A34" t="s">
        <v>37</v>
      </c>
      <c r="C34" s="4">
        <f>C22/C16</f>
        <v>4.5999990321191266E-2</v>
      </c>
      <c r="D34" s="4">
        <f>D22/D16</f>
        <v>3.4000011636544952E-2</v>
      </c>
      <c r="E34" s="4">
        <f>E22/E16</f>
        <v>5.0000011237006932E-2</v>
      </c>
      <c r="F34" s="4">
        <f>F22/F16</f>
        <v>3.5000002120189992E-2</v>
      </c>
      <c r="G34" s="4">
        <f>G22/G16</f>
        <v>4.8999990268702269E-2</v>
      </c>
    </row>
    <row r="36" spans="1:7" x14ac:dyDescent="0.25">
      <c r="B36" t="s">
        <v>42</v>
      </c>
      <c r="C36" t="s">
        <v>43</v>
      </c>
      <c r="D36" t="s">
        <v>44</v>
      </c>
      <c r="E36" t="s">
        <v>45</v>
      </c>
      <c r="F36" t="s">
        <v>35</v>
      </c>
      <c r="G36" t="s">
        <v>37</v>
      </c>
    </row>
    <row r="37" spans="1:7" x14ac:dyDescent="0.25">
      <c r="A37" t="s">
        <v>48</v>
      </c>
      <c r="B37" s="2">
        <f>G30</f>
        <v>2.9465721650527175</v>
      </c>
      <c r="C37" s="2">
        <f>G31</f>
        <v>2.1460935520374886</v>
      </c>
      <c r="D37" s="2">
        <f>G25</f>
        <v>0.46273459899102209</v>
      </c>
      <c r="E37" s="2">
        <f>G29</f>
        <v>14.75997253873167</v>
      </c>
      <c r="F37" s="4">
        <f>G33</f>
        <v>0.3039999948921695</v>
      </c>
      <c r="G37" s="4">
        <f>G34</f>
        <v>4.8999990268702269E-2</v>
      </c>
    </row>
    <row r="38" spans="1:7" x14ac:dyDescent="0.25">
      <c r="A38" t="s">
        <v>46</v>
      </c>
      <c r="B38" s="2">
        <f>B40-B37</f>
        <v>1.0534278349472825</v>
      </c>
      <c r="C38" s="2">
        <f t="shared" ref="C38:E38" si="5">C40-C37</f>
        <v>1.8539064479625114</v>
      </c>
      <c r="D38" s="2">
        <f t="shared" si="5"/>
        <v>1.5372654010089779</v>
      </c>
      <c r="E38" s="2">
        <f t="shared" si="5"/>
        <v>15.24002746126833</v>
      </c>
      <c r="F38" s="4">
        <f t="shared" ref="F38" si="6">F40-F37</f>
        <v>9.6000005107830522E-2</v>
      </c>
      <c r="G38" s="4">
        <f t="shared" ref="G38" si="7">G40-G37</f>
        <v>2.1000009731297738E-2</v>
      </c>
    </row>
    <row r="39" spans="1:7" x14ac:dyDescent="0.25">
      <c r="A39" t="s">
        <v>47</v>
      </c>
      <c r="B39" s="2">
        <f>B40/0.8-B40</f>
        <v>1</v>
      </c>
      <c r="C39" s="2">
        <f t="shared" ref="C39:E39" si="8">C40/0.8-C40</f>
        <v>1</v>
      </c>
      <c r="D39" s="2">
        <f t="shared" si="8"/>
        <v>0.5</v>
      </c>
      <c r="E39" s="2">
        <f t="shared" si="8"/>
        <v>7.5</v>
      </c>
      <c r="F39" s="4">
        <f t="shared" ref="F39" si="9">F40/0.8-F40</f>
        <v>9.9999999999999978E-2</v>
      </c>
      <c r="G39" s="4">
        <f t="shared" ref="G39" si="10">G40/0.8-G40</f>
        <v>1.7500000000000002E-2</v>
      </c>
    </row>
    <row r="40" spans="1:7" x14ac:dyDescent="0.25">
      <c r="A40" t="s">
        <v>41</v>
      </c>
      <c r="B40" s="2">
        <v>4</v>
      </c>
      <c r="C40" s="2">
        <v>4</v>
      </c>
      <c r="D40" s="2">
        <v>2</v>
      </c>
      <c r="E40" s="2">
        <v>30</v>
      </c>
      <c r="F40" s="4">
        <v>0.4</v>
      </c>
      <c r="G40" s="4">
        <v>7.0000000000000007E-2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885F7-1AAA-4503-BABD-36B329DBF7AB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A7611-B974-415E-8E3A-DB85892E48FD}">
  <sheetPr codeName="Sheet3"/>
  <dimension ref="A1:M55"/>
  <sheetViews>
    <sheetView workbookViewId="0"/>
  </sheetViews>
  <sheetFormatPr defaultRowHeight="15" x14ac:dyDescent="0.25"/>
  <cols>
    <col min="1" max="1" width="24" bestFit="1" customWidth="1"/>
    <col min="2" max="2" width="14" bestFit="1" customWidth="1"/>
    <col min="3" max="7" width="15" bestFit="1" customWidth="1"/>
  </cols>
  <sheetData>
    <row r="1" spans="1:13" x14ac:dyDescent="0.25">
      <c r="B1">
        <f t="shared" ref="B1:E1" si="0">C1-1</f>
        <v>2015</v>
      </c>
      <c r="C1">
        <f t="shared" si="0"/>
        <v>2016</v>
      </c>
      <c r="D1">
        <f t="shared" si="0"/>
        <v>2017</v>
      </c>
      <c r="E1">
        <f t="shared" si="0"/>
        <v>2018</v>
      </c>
      <c r="F1">
        <f>G1-1</f>
        <v>2019</v>
      </c>
      <c r="G1">
        <v>2020</v>
      </c>
    </row>
    <row r="2" spans="1:13" x14ac:dyDescent="0.25">
      <c r="A2" t="s">
        <v>0</v>
      </c>
      <c r="B2" s="5">
        <v>683994</v>
      </c>
      <c r="C2" s="5">
        <f ca="1">B2+C39</f>
        <v>1329196</v>
      </c>
      <c r="D2" s="5">
        <f ca="1">C2+D39</f>
        <v>1466722</v>
      </c>
      <c r="E2" s="5">
        <f ca="1">D2+E39</f>
        <v>2112639</v>
      </c>
      <c r="F2" s="5">
        <f ca="1">E2+F39</f>
        <v>2834224</v>
      </c>
      <c r="G2" s="5">
        <f ca="1">F2+G39</f>
        <v>3309334</v>
      </c>
      <c r="H2" s="1"/>
      <c r="I2" s="1"/>
      <c r="J2" s="1"/>
      <c r="K2" s="1"/>
      <c r="L2" s="1"/>
      <c r="M2" s="1"/>
    </row>
    <row r="3" spans="1:13" x14ac:dyDescent="0.25">
      <c r="A3" t="s">
        <v>1</v>
      </c>
      <c r="B3" s="5">
        <f>ROUND(40000000/365*28,0)</f>
        <v>3068493</v>
      </c>
      <c r="C3" s="5">
        <f t="shared" ref="C3:G5" ca="1" si="1">B3-C24</f>
        <v>3212554</v>
      </c>
      <c r="D3" s="5">
        <f t="shared" ca="1" si="1"/>
        <v>3319944</v>
      </c>
      <c r="E3" s="5">
        <f t="shared" ca="1" si="1"/>
        <v>3325804</v>
      </c>
      <c r="F3" s="5">
        <f t="shared" ca="1" si="1"/>
        <v>3312271</v>
      </c>
      <c r="G3" s="5">
        <f t="shared" ca="1" si="1"/>
        <v>3352971</v>
      </c>
      <c r="H3" s="1"/>
      <c r="I3" s="1"/>
      <c r="J3" s="1"/>
      <c r="K3" s="1"/>
      <c r="L3" s="1"/>
      <c r="M3" s="1"/>
    </row>
    <row r="4" spans="1:13" x14ac:dyDescent="0.25">
      <c r="A4" t="s">
        <v>2</v>
      </c>
      <c r="B4" s="5">
        <v>1523461</v>
      </c>
      <c r="C4" s="5">
        <f t="shared" ca="1" si="1"/>
        <v>1464585</v>
      </c>
      <c r="D4" s="5">
        <f t="shared" ca="1" si="1"/>
        <v>1493306</v>
      </c>
      <c r="E4" s="5">
        <f t="shared" ca="1" si="1"/>
        <v>1515842</v>
      </c>
      <c r="F4" s="5">
        <f t="shared" ca="1" si="1"/>
        <v>1503350</v>
      </c>
      <c r="G4" s="5">
        <f t="shared" ca="1" si="1"/>
        <v>1567999</v>
      </c>
      <c r="H4" s="1"/>
      <c r="I4" s="1"/>
      <c r="J4" s="1"/>
      <c r="K4" s="1"/>
      <c r="L4" s="1"/>
      <c r="M4" s="1"/>
    </row>
    <row r="5" spans="1:13" x14ac:dyDescent="0.25">
      <c r="A5" t="s">
        <v>3</v>
      </c>
      <c r="B5" s="5">
        <v>621453</v>
      </c>
      <c r="C5" s="5">
        <f t="shared" ca="1" si="1"/>
        <v>641023</v>
      </c>
      <c r="D5" s="5">
        <f t="shared" ca="1" si="1"/>
        <v>659625</v>
      </c>
      <c r="E5" s="5">
        <f t="shared" ca="1" si="1"/>
        <v>638960</v>
      </c>
      <c r="F5" s="5">
        <f t="shared" ca="1" si="1"/>
        <v>654708</v>
      </c>
      <c r="G5" s="5">
        <f t="shared" ca="1" si="1"/>
        <v>679444</v>
      </c>
      <c r="H5" s="1"/>
      <c r="I5" s="1"/>
      <c r="J5" s="1"/>
      <c r="K5" s="1"/>
      <c r="L5" s="1"/>
      <c r="M5" s="1"/>
    </row>
    <row r="6" spans="1:13" x14ac:dyDescent="0.25">
      <c r="A6" t="s">
        <v>4</v>
      </c>
      <c r="B6" s="5">
        <v>3648732</v>
      </c>
      <c r="C6" s="5">
        <f ca="1">B6-SUM(C27:C30)</f>
        <v>3603616</v>
      </c>
      <c r="D6" s="5">
        <f ca="1">C6-SUM(D27:D30)</f>
        <v>3659321</v>
      </c>
      <c r="E6" s="5">
        <f ca="1">D6-SUM(E27:E30)</f>
        <v>3607568</v>
      </c>
      <c r="F6" s="5">
        <f ca="1">E6-SUM(F27:F30)</f>
        <v>3563388</v>
      </c>
      <c r="G6" s="5">
        <f ca="1">F6-SUM(G27:G30)</f>
        <v>3744491</v>
      </c>
      <c r="H6" s="1"/>
      <c r="I6" s="1"/>
      <c r="J6" s="1"/>
      <c r="K6" s="1"/>
      <c r="L6" s="1"/>
      <c r="M6" s="1"/>
    </row>
    <row r="7" spans="1:13" x14ac:dyDescent="0.25">
      <c r="A7" t="s">
        <v>5</v>
      </c>
      <c r="B7" s="5">
        <v>50243</v>
      </c>
      <c r="C7" s="5">
        <f t="shared" ref="C7:G12" ca="1" si="2">B7-C31</f>
        <v>37609</v>
      </c>
      <c r="D7" s="5">
        <f t="shared" ca="1" si="2"/>
        <v>31907</v>
      </c>
      <c r="E7" s="5">
        <f t="shared" ca="1" si="2"/>
        <v>36292</v>
      </c>
      <c r="F7" s="5">
        <f t="shared" ca="1" si="2"/>
        <v>17006</v>
      </c>
      <c r="G7" s="5">
        <f t="shared" ca="1" si="2"/>
        <v>30823</v>
      </c>
      <c r="H7" s="1"/>
      <c r="I7" s="1"/>
      <c r="J7" s="1"/>
      <c r="K7" s="1"/>
      <c r="L7" s="1"/>
      <c r="M7" s="1"/>
    </row>
    <row r="8" spans="1:13" x14ac:dyDescent="0.25">
      <c r="A8" t="s">
        <v>6</v>
      </c>
      <c r="B8" s="5">
        <v>-2836512</v>
      </c>
      <c r="C8" s="5">
        <f t="shared" ca="1" si="2"/>
        <v>-2793102</v>
      </c>
      <c r="D8" s="5">
        <f t="shared" ca="1" si="2"/>
        <v>-2838634</v>
      </c>
      <c r="E8" s="5">
        <f t="shared" ca="1" si="2"/>
        <v>-2914515</v>
      </c>
      <c r="F8" s="5">
        <f t="shared" ca="1" si="2"/>
        <v>-2839480</v>
      </c>
      <c r="G8" s="5">
        <f t="shared" ca="1" si="2"/>
        <v>-2758224</v>
      </c>
      <c r="H8" s="1"/>
      <c r="I8" s="1"/>
      <c r="J8" s="1"/>
      <c r="K8" s="1"/>
      <c r="L8" s="1"/>
      <c r="M8" s="1"/>
    </row>
    <row r="9" spans="1:13" x14ac:dyDescent="0.25">
      <c r="A9" t="s">
        <v>7</v>
      </c>
      <c r="B9" s="5">
        <v>-200148</v>
      </c>
      <c r="C9" s="5">
        <f t="shared" ca="1" si="2"/>
        <v>-199091</v>
      </c>
      <c r="D9" s="5">
        <f t="shared" ca="1" si="2"/>
        <v>-181008</v>
      </c>
      <c r="E9" s="5">
        <f t="shared" ca="1" si="2"/>
        <v>-196368</v>
      </c>
      <c r="F9" s="5">
        <f t="shared" ca="1" si="2"/>
        <v>-223531</v>
      </c>
      <c r="G9" s="5">
        <f t="shared" ca="1" si="2"/>
        <v>-191157</v>
      </c>
      <c r="H9" s="1"/>
      <c r="I9" s="1"/>
      <c r="J9" s="1"/>
      <c r="K9" s="1"/>
      <c r="L9" s="1"/>
      <c r="M9" s="1"/>
    </row>
    <row r="10" spans="1:13" x14ac:dyDescent="0.25">
      <c r="A10" t="s">
        <v>8</v>
      </c>
      <c r="B10" s="5">
        <v>-3861487</v>
      </c>
      <c r="C10" s="5">
        <f t="shared" ca="1" si="2"/>
        <v>-3786243</v>
      </c>
      <c r="D10" s="5">
        <f t="shared" ca="1" si="2"/>
        <v>-3308741</v>
      </c>
      <c r="E10" s="5">
        <f t="shared" ca="1" si="2"/>
        <v>-3147817</v>
      </c>
      <c r="F10" s="5">
        <f t="shared" ca="1" si="2"/>
        <v>-3119431</v>
      </c>
      <c r="G10" s="5">
        <f t="shared" ca="1" si="2"/>
        <v>-3155980</v>
      </c>
      <c r="H10" s="1"/>
      <c r="I10" s="1"/>
      <c r="J10" s="1"/>
      <c r="K10" s="1"/>
      <c r="L10" s="1"/>
      <c r="M10" s="1"/>
    </row>
    <row r="11" spans="1:13" x14ac:dyDescent="0.25">
      <c r="A11" t="s">
        <v>9</v>
      </c>
      <c r="B11" s="5">
        <v>-100000</v>
      </c>
      <c r="C11" s="5">
        <f t="shared" si="2"/>
        <v>-100000</v>
      </c>
      <c r="D11" s="5">
        <f t="shared" si="2"/>
        <v>-100000</v>
      </c>
      <c r="E11" s="5">
        <f t="shared" si="2"/>
        <v>-100000</v>
      </c>
      <c r="F11" s="5">
        <f t="shared" si="2"/>
        <v>-100000</v>
      </c>
      <c r="G11" s="5">
        <f t="shared" si="2"/>
        <v>-100000</v>
      </c>
      <c r="H11" s="1"/>
      <c r="I11" s="1"/>
      <c r="J11" s="1"/>
      <c r="K11" s="1"/>
      <c r="L11" s="1"/>
      <c r="M11" s="1"/>
    </row>
    <row r="12" spans="1:13" x14ac:dyDescent="0.25">
      <c r="A12" t="s">
        <v>10</v>
      </c>
      <c r="B12" s="5">
        <v>-1547889</v>
      </c>
      <c r="C12" s="5">
        <f t="shared" si="2"/>
        <v>-1547889</v>
      </c>
      <c r="D12" s="5">
        <f t="shared" si="2"/>
        <v>-1547889</v>
      </c>
      <c r="E12" s="5">
        <f t="shared" si="2"/>
        <v>-1547889</v>
      </c>
      <c r="F12" s="5">
        <f t="shared" si="2"/>
        <v>-1547889</v>
      </c>
      <c r="G12" s="5">
        <f t="shared" si="2"/>
        <v>-1547889</v>
      </c>
      <c r="H12" s="1"/>
      <c r="I12" s="1"/>
      <c r="J12" s="1"/>
      <c r="K12" s="1"/>
      <c r="L12" s="1"/>
      <c r="M12" s="1"/>
    </row>
    <row r="13" spans="1:13" x14ac:dyDescent="0.25">
      <c r="A13" t="s">
        <v>11</v>
      </c>
      <c r="B13" s="5">
        <v>-1050340</v>
      </c>
      <c r="C13" s="5">
        <f ca="1">B13-SUM(C37:C38)</f>
        <v>-1862258</v>
      </c>
      <c r="D13" s="5">
        <f ca="1">C13-SUM(D37:D38)</f>
        <v>-2654553</v>
      </c>
      <c r="E13" s="5">
        <f ca="1">D13-SUM(E37:E38)</f>
        <v>-3330516</v>
      </c>
      <c r="F13" s="5">
        <f ca="1">E13-SUM(F37:F38)</f>
        <v>-4054616</v>
      </c>
      <c r="G13" s="5">
        <f ca="1">F13-SUM(G37:G38)</f>
        <v>-4931812</v>
      </c>
      <c r="H13" s="1"/>
      <c r="I13" s="1"/>
      <c r="J13" s="1"/>
      <c r="K13" s="1"/>
      <c r="L13" s="1"/>
      <c r="M13" s="1"/>
    </row>
    <row r="14" spans="1:13" x14ac:dyDescent="0.25">
      <c r="B14" s="6">
        <f>SUM(B2:B13)</f>
        <v>0</v>
      </c>
      <c r="C14" s="6">
        <f ca="1">SUM(C2:C13)</f>
        <v>0</v>
      </c>
      <c r="D14" s="6">
        <f ca="1">SUM(D2:D13)</f>
        <v>0</v>
      </c>
      <c r="E14" s="6">
        <f t="shared" ref="E14:G14" ca="1" si="3">SUM(E2:E13)</f>
        <v>0</v>
      </c>
      <c r="F14" s="6">
        <f t="shared" ca="1" si="3"/>
        <v>0</v>
      </c>
      <c r="G14" s="6">
        <f t="shared" ca="1" si="3"/>
        <v>0</v>
      </c>
      <c r="H14" s="2"/>
      <c r="I14" s="2"/>
      <c r="J14" s="2"/>
      <c r="K14" s="2"/>
      <c r="L14" s="2"/>
      <c r="M14" s="2"/>
    </row>
    <row r="15" spans="1:13" x14ac:dyDescent="0.25">
      <c r="B15" s="6"/>
      <c r="C15" s="6"/>
      <c r="D15" s="6"/>
      <c r="E15" s="6"/>
      <c r="F15" s="6"/>
      <c r="G15" s="6"/>
    </row>
    <row r="16" spans="1:13" x14ac:dyDescent="0.25">
      <c r="A16" t="s">
        <v>12</v>
      </c>
      <c r="B16" s="6"/>
      <c r="C16" s="6">
        <v>-39261030</v>
      </c>
      <c r="D16" s="6">
        <f ca="1">ROUND(C16*(1+RANDBETWEEN(-1,8)/100),0)</f>
        <v>-42009302</v>
      </c>
      <c r="E16" s="6">
        <f t="shared" ref="E16:G16" ca="1" si="4">ROUND(D16*(1+RANDBETWEEN(-1,8)/100),0)</f>
        <v>-44529860</v>
      </c>
      <c r="F16" s="6">
        <f t="shared" ca="1" si="4"/>
        <v>-44975159</v>
      </c>
      <c r="G16" s="6">
        <f t="shared" ca="1" si="4"/>
        <v>-47673669</v>
      </c>
      <c r="H16" s="2"/>
      <c r="I16" s="2"/>
      <c r="J16" s="2"/>
      <c r="K16" s="2"/>
      <c r="L16" s="2"/>
      <c r="M16" s="2"/>
    </row>
    <row r="17" spans="1:13" x14ac:dyDescent="0.25">
      <c r="A17" t="s">
        <v>13</v>
      </c>
      <c r="B17" s="6"/>
      <c r="C17" s="6">
        <f ca="1">-ROUND(C16*RANDBETWEEN(660,700)/1000,0)</f>
        <v>25990802</v>
      </c>
      <c r="D17" s="6">
        <f t="shared" ref="D17:G17" ca="1" si="5">-ROUND(D16*RANDBETWEEN(660,700)/1000,0)</f>
        <v>28734363</v>
      </c>
      <c r="E17" s="6">
        <f t="shared" ca="1" si="5"/>
        <v>29790476</v>
      </c>
      <c r="F17" s="6">
        <f t="shared" ca="1" si="5"/>
        <v>30897934</v>
      </c>
      <c r="G17" s="6">
        <f t="shared" ca="1" si="5"/>
        <v>31750664</v>
      </c>
      <c r="H17" s="2"/>
      <c r="I17" s="2"/>
      <c r="J17" s="2"/>
      <c r="K17" s="2"/>
      <c r="L17" s="2"/>
      <c r="M17" s="2"/>
    </row>
    <row r="18" spans="1:13" x14ac:dyDescent="0.25">
      <c r="A18" t="s">
        <v>14</v>
      </c>
      <c r="B18" s="5"/>
      <c r="C18" s="5">
        <f ca="1">SUBTOTAL(9,C16:C17)</f>
        <v>-13270228</v>
      </c>
      <c r="D18" s="5">
        <f ca="1">SUBTOTAL(9,D16:D17)</f>
        <v>-13274939</v>
      </c>
      <c r="E18" s="5">
        <f t="shared" ref="E18:G18" ca="1" si="6">SUBTOTAL(9,E16:E17)</f>
        <v>-14739384</v>
      </c>
      <c r="F18" s="5">
        <f t="shared" ca="1" si="6"/>
        <v>-14077225</v>
      </c>
      <c r="G18" s="5">
        <f t="shared" ca="1" si="6"/>
        <v>-15923005</v>
      </c>
      <c r="H18" s="1"/>
      <c r="I18" s="1"/>
      <c r="J18" s="1"/>
      <c r="K18" s="1"/>
      <c r="L18" s="1"/>
      <c r="M18" s="1"/>
    </row>
    <row r="19" spans="1:13" x14ac:dyDescent="0.25">
      <c r="A19" t="s">
        <v>15</v>
      </c>
      <c r="B19" s="6"/>
      <c r="C19" s="6">
        <f ca="1">C20-C18</f>
        <v>11219367</v>
      </c>
      <c r="D19" s="6">
        <f t="shared" ref="D19:G19" ca="1" si="7">D20-D18</f>
        <v>11388775</v>
      </c>
      <c r="E19" s="6">
        <f t="shared" ca="1" si="7"/>
        <v>13117545</v>
      </c>
      <c r="F19" s="6">
        <f t="shared" ca="1" si="7"/>
        <v>12341819</v>
      </c>
      <c r="G19" s="6">
        <f t="shared" ca="1" si="7"/>
        <v>13843741</v>
      </c>
      <c r="H19" s="2"/>
      <c r="I19" s="2"/>
      <c r="J19" s="2"/>
      <c r="K19" s="2"/>
      <c r="L19" s="2"/>
      <c r="M19" s="2"/>
    </row>
    <row r="20" spans="1:13" x14ac:dyDescent="0.25">
      <c r="A20" t="s">
        <v>16</v>
      </c>
      <c r="B20" s="5"/>
      <c r="C20" s="5">
        <f ca="1">C22-C21</f>
        <v>-2050861</v>
      </c>
      <c r="D20" s="5">
        <f t="shared" ref="D20:G20" ca="1" si="8">D22-D21</f>
        <v>-1886164</v>
      </c>
      <c r="E20" s="5">
        <f t="shared" ca="1" si="8"/>
        <v>-1621839</v>
      </c>
      <c r="F20" s="5">
        <f t="shared" ca="1" si="8"/>
        <v>-1735406</v>
      </c>
      <c r="G20" s="5">
        <f t="shared" ca="1" si="8"/>
        <v>-2079264</v>
      </c>
      <c r="H20" s="1"/>
      <c r="I20" s="1"/>
      <c r="J20" s="1"/>
      <c r="K20" s="1"/>
      <c r="L20" s="1"/>
      <c r="M20" s="1"/>
    </row>
    <row r="21" spans="1:13" x14ac:dyDescent="0.25">
      <c r="A21" t="s">
        <v>17</v>
      </c>
      <c r="B21" s="5"/>
      <c r="C21" s="5">
        <f ca="1">-ROUND(C10*RANDBETWEEN(450,550)/10000,0)</f>
        <v>205593</v>
      </c>
      <c r="D21" s="5">
        <f t="shared" ref="D21:G21" ca="1" si="9">-ROUND(D10*RANDBETWEEN(450,550)/10000,0)</f>
        <v>163783</v>
      </c>
      <c r="E21" s="5">
        <f t="shared" ca="1" si="9"/>
        <v>152354</v>
      </c>
      <c r="F21" s="5">
        <f t="shared" ca="1" si="9"/>
        <v>161275</v>
      </c>
      <c r="G21" s="5">
        <f t="shared" ca="1" si="9"/>
        <v>172317</v>
      </c>
      <c r="H21" s="1"/>
      <c r="I21" s="1"/>
      <c r="J21" s="1"/>
      <c r="K21" s="1"/>
      <c r="L21" s="1"/>
      <c r="M21" s="1"/>
    </row>
    <row r="22" spans="1:13" x14ac:dyDescent="0.25">
      <c r="A22" t="s">
        <v>18</v>
      </c>
      <c r="B22" s="5"/>
      <c r="C22" s="5">
        <f ca="1">ROUND(C16*RANDBETWEEN(30,50)/1000,0)</f>
        <v>-1845268</v>
      </c>
      <c r="D22" s="5">
        <f t="shared" ref="D22:G22" ca="1" si="10">ROUND(D16*RANDBETWEEN(30,50)/1000,0)</f>
        <v>-1722381</v>
      </c>
      <c r="E22" s="5">
        <f t="shared" ca="1" si="10"/>
        <v>-1469485</v>
      </c>
      <c r="F22" s="5">
        <f t="shared" ca="1" si="10"/>
        <v>-1574131</v>
      </c>
      <c r="G22" s="5">
        <f t="shared" ca="1" si="10"/>
        <v>-1906947</v>
      </c>
      <c r="H22" s="1"/>
      <c r="I22" s="1"/>
      <c r="J22" s="1"/>
      <c r="K22" s="1"/>
      <c r="L22" s="1"/>
      <c r="M22" s="1"/>
    </row>
    <row r="24" spans="1:13" x14ac:dyDescent="0.25">
      <c r="A24" t="s">
        <v>1</v>
      </c>
      <c r="C24" s="5">
        <f ca="1">RANDBETWEEN(-175000,17500)</f>
        <v>-144061</v>
      </c>
      <c r="D24" s="5">
        <f ca="1">RANDBETWEEN(-175000,17500)</f>
        <v>-107390</v>
      </c>
      <c r="E24" s="5">
        <f t="shared" ref="E24:G24" ca="1" si="11">RANDBETWEEN(-175000,17500)</f>
        <v>-5860</v>
      </c>
      <c r="F24" s="5">
        <f t="shared" ca="1" si="11"/>
        <v>13533</v>
      </c>
      <c r="G24" s="5">
        <f t="shared" ca="1" si="11"/>
        <v>-40700</v>
      </c>
      <c r="H24" s="1"/>
      <c r="I24" s="1"/>
      <c r="J24" s="1"/>
      <c r="K24" s="1"/>
      <c r="L24" s="1"/>
      <c r="M24" s="1"/>
    </row>
    <row r="25" spans="1:13" x14ac:dyDescent="0.25">
      <c r="A25" t="s">
        <v>2</v>
      </c>
      <c r="C25" s="5">
        <f ca="1">RANDBETWEEN(-75000,75000)</f>
        <v>58876</v>
      </c>
      <c r="D25" s="5">
        <f ca="1">RANDBETWEEN(-75000,75000)</f>
        <v>-28721</v>
      </c>
      <c r="E25" s="5">
        <f t="shared" ref="E25:G25" ca="1" si="12">RANDBETWEEN(-75000,75000)</f>
        <v>-22536</v>
      </c>
      <c r="F25" s="5">
        <f t="shared" ca="1" si="12"/>
        <v>12492</v>
      </c>
      <c r="G25" s="5">
        <f t="shared" ca="1" si="12"/>
        <v>-64649</v>
      </c>
      <c r="H25" s="1"/>
      <c r="I25" s="1"/>
      <c r="J25" s="1"/>
      <c r="K25" s="1"/>
      <c r="L25" s="1"/>
      <c r="M25" s="1"/>
    </row>
    <row r="26" spans="1:13" x14ac:dyDescent="0.25">
      <c r="A26" t="s">
        <v>3</v>
      </c>
      <c r="C26" s="5">
        <f ca="1">RANDBETWEEN(-25000,25000)</f>
        <v>-19570</v>
      </c>
      <c r="D26" s="5">
        <f ca="1">RANDBETWEEN(-25000,25000)</f>
        <v>-18602</v>
      </c>
      <c r="E26" s="5">
        <f t="shared" ref="E26:G26" ca="1" si="13">RANDBETWEEN(-25000,25000)</f>
        <v>20665</v>
      </c>
      <c r="F26" s="5">
        <f t="shared" ca="1" si="13"/>
        <v>-15748</v>
      </c>
      <c r="G26" s="5">
        <f t="shared" ca="1" si="13"/>
        <v>-24736</v>
      </c>
      <c r="H26" s="1"/>
      <c r="I26" s="1"/>
      <c r="J26" s="1"/>
      <c r="K26" s="1"/>
      <c r="L26" s="1"/>
      <c r="M26" s="1"/>
    </row>
    <row r="27" spans="1:13" x14ac:dyDescent="0.25">
      <c r="A27" t="s">
        <v>19</v>
      </c>
      <c r="C27" s="5">
        <f ca="1">RANDBETWEEN(-750000,-250000)</f>
        <v>-301849</v>
      </c>
      <c r="D27" s="5">
        <f t="shared" ref="D27:G27" ca="1" si="14">RANDBETWEEN(-750000,-250000)</f>
        <v>-472213</v>
      </c>
      <c r="E27" s="5">
        <f t="shared" ca="1" si="14"/>
        <v>-301477</v>
      </c>
      <c r="F27" s="5">
        <f t="shared" ca="1" si="14"/>
        <v>-393996</v>
      </c>
      <c r="G27" s="5">
        <f t="shared" ca="1" si="14"/>
        <v>-613977</v>
      </c>
      <c r="H27" s="1"/>
      <c r="I27" s="1"/>
      <c r="J27" s="1"/>
      <c r="K27" s="1"/>
      <c r="L27" s="1"/>
      <c r="M27" s="1"/>
    </row>
    <row r="28" spans="1:13" x14ac:dyDescent="0.25">
      <c r="A28" t="s">
        <v>20</v>
      </c>
      <c r="C28" s="5">
        <f ca="1">ROUND(B6*RANDBETWEEN(9,11)/100,0)</f>
        <v>328386</v>
      </c>
      <c r="D28" s="5">
        <f ca="1">ROUND(C6*RANDBETWEEN(9,11)/100,0)</f>
        <v>396398</v>
      </c>
      <c r="E28" s="5">
        <f ca="1">ROUND(D6*RANDBETWEEN(9,11)/100,0)</f>
        <v>329339</v>
      </c>
      <c r="F28" s="5">
        <f ca="1">ROUND(E6*RANDBETWEEN(9,11)/100,0)</f>
        <v>396832</v>
      </c>
      <c r="G28" s="5">
        <f ca="1">ROUND(F6*RANDBETWEEN(9,11)/100,0)</f>
        <v>391973</v>
      </c>
      <c r="H28" s="1"/>
      <c r="I28" s="1"/>
      <c r="J28" s="1"/>
      <c r="K28" s="1"/>
      <c r="L28" s="1"/>
      <c r="M28" s="1"/>
    </row>
    <row r="29" spans="1:13" x14ac:dyDescent="0.25">
      <c r="A29" t="s">
        <v>21</v>
      </c>
      <c r="C29" s="5">
        <f ca="1">RANDBETWEEN(0,45000)</f>
        <v>17364</v>
      </c>
      <c r="D29" s="5">
        <f ca="1">RANDBETWEEN(0,45000)</f>
        <v>19337</v>
      </c>
      <c r="E29" s="5">
        <f t="shared" ref="E29:G29" ca="1" si="15">RANDBETWEEN(0,45000)</f>
        <v>26546</v>
      </c>
      <c r="F29" s="5">
        <f t="shared" ca="1" si="15"/>
        <v>43067</v>
      </c>
      <c r="G29" s="5">
        <f t="shared" ca="1" si="15"/>
        <v>43980</v>
      </c>
      <c r="H29" s="1"/>
      <c r="I29" s="1"/>
      <c r="J29" s="1"/>
      <c r="K29" s="1"/>
      <c r="L29" s="1"/>
      <c r="M29" s="1"/>
    </row>
    <row r="30" spans="1:13" x14ac:dyDescent="0.25">
      <c r="A30" t="s">
        <v>22</v>
      </c>
      <c r="C30" s="5">
        <f ca="1">ROUND(C29*RANDBETWEEN(-10,10)/100,0)</f>
        <v>1215</v>
      </c>
      <c r="D30" s="5">
        <f ca="1">ROUND(D29*RANDBETWEEN(-10,10)/100,0)</f>
        <v>773</v>
      </c>
      <c r="E30" s="5">
        <f t="shared" ref="E30:G30" ca="1" si="16">ROUND(E29*RANDBETWEEN(-10,10)/100,0)</f>
        <v>-2655</v>
      </c>
      <c r="F30" s="5">
        <f t="shared" ca="1" si="16"/>
        <v>-1723</v>
      </c>
      <c r="G30" s="5">
        <f t="shared" ca="1" si="16"/>
        <v>-3079</v>
      </c>
      <c r="H30" s="1"/>
      <c r="I30" s="1"/>
      <c r="J30" s="1"/>
      <c r="K30" s="1"/>
      <c r="L30" s="1"/>
      <c r="M30" s="1"/>
    </row>
    <row r="31" spans="1:13" x14ac:dyDescent="0.25">
      <c r="A31" t="s">
        <v>5</v>
      </c>
      <c r="C31" s="5">
        <f ca="1">RANDBETWEEN(-20000,20000)</f>
        <v>12634</v>
      </c>
      <c r="D31" s="5">
        <f ca="1">RANDBETWEEN(-20000,20000)</f>
        <v>5702</v>
      </c>
      <c r="E31" s="5">
        <f t="shared" ref="E31:G31" ca="1" si="17">RANDBETWEEN(-20000,20000)</f>
        <v>-4385</v>
      </c>
      <c r="F31" s="5">
        <f t="shared" ca="1" si="17"/>
        <v>19286</v>
      </c>
      <c r="G31" s="5">
        <f t="shared" ca="1" si="17"/>
        <v>-13817</v>
      </c>
      <c r="H31" s="1"/>
      <c r="I31" s="1"/>
      <c r="J31" s="1"/>
      <c r="K31" s="1"/>
      <c r="L31" s="1"/>
      <c r="M31" s="1"/>
    </row>
    <row r="32" spans="1:13" x14ac:dyDescent="0.25">
      <c r="A32" t="s">
        <v>6</v>
      </c>
      <c r="C32" s="5">
        <f ca="1">RANDBETWEEN(-125000,125000)</f>
        <v>-43410</v>
      </c>
      <c r="D32" s="5">
        <f ca="1">RANDBETWEEN(-125000,125000)</f>
        <v>45532</v>
      </c>
      <c r="E32" s="5">
        <f t="shared" ref="E32:G32" ca="1" si="18">RANDBETWEEN(-125000,125000)</f>
        <v>75881</v>
      </c>
      <c r="F32" s="5">
        <f t="shared" ca="1" si="18"/>
        <v>-75035</v>
      </c>
      <c r="G32" s="5">
        <f t="shared" ca="1" si="18"/>
        <v>-81256</v>
      </c>
      <c r="H32" s="1"/>
      <c r="I32" s="1"/>
      <c r="J32" s="1"/>
      <c r="K32" s="1"/>
      <c r="L32" s="1"/>
      <c r="M32" s="1"/>
    </row>
    <row r="33" spans="1:13" x14ac:dyDescent="0.25">
      <c r="A33" t="s">
        <v>7</v>
      </c>
      <c r="C33" s="5">
        <f ca="1">RANDBETWEEN(-40000,40000)</f>
        <v>-1057</v>
      </c>
      <c r="D33" s="5">
        <f ca="1">RANDBETWEEN(-40000,40000)</f>
        <v>-18083</v>
      </c>
      <c r="E33" s="5">
        <f t="shared" ref="E33:G33" ca="1" si="19">RANDBETWEEN(-40000,40000)</f>
        <v>15360</v>
      </c>
      <c r="F33" s="5">
        <f t="shared" ca="1" si="19"/>
        <v>27163</v>
      </c>
      <c r="G33" s="5">
        <f t="shared" ca="1" si="19"/>
        <v>-32374</v>
      </c>
      <c r="H33" s="1"/>
      <c r="I33" s="1"/>
      <c r="J33" s="1"/>
      <c r="K33" s="1"/>
      <c r="L33" s="1"/>
      <c r="M33" s="1"/>
    </row>
    <row r="34" spans="1:13" x14ac:dyDescent="0.25">
      <c r="A34" t="s">
        <v>8</v>
      </c>
      <c r="C34" s="5">
        <f ca="1">RANDBETWEEN(-550000,100000)</f>
        <v>-75244</v>
      </c>
      <c r="D34" s="5">
        <f t="shared" ref="D34:G34" ca="1" si="20">RANDBETWEEN(-550000,100000)</f>
        <v>-477502</v>
      </c>
      <c r="E34" s="5">
        <f t="shared" ca="1" si="20"/>
        <v>-160924</v>
      </c>
      <c r="F34" s="5">
        <f t="shared" ca="1" si="20"/>
        <v>-28386</v>
      </c>
      <c r="G34" s="5">
        <f t="shared" ca="1" si="20"/>
        <v>36549</v>
      </c>
      <c r="H34" s="1"/>
      <c r="I34" s="1"/>
      <c r="J34" s="1"/>
      <c r="K34" s="1"/>
      <c r="L34" s="1"/>
      <c r="M34" s="1"/>
    </row>
    <row r="35" spans="1:13" x14ac:dyDescent="0.25">
      <c r="A35" t="s">
        <v>9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1"/>
      <c r="I35" s="1"/>
      <c r="J35" s="1"/>
      <c r="K35" s="1"/>
      <c r="L35" s="1"/>
      <c r="M35" s="1"/>
    </row>
    <row r="36" spans="1:13" x14ac:dyDescent="0.25">
      <c r="A36" t="s">
        <v>10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1"/>
      <c r="I36" s="1"/>
      <c r="J36" s="1"/>
      <c r="K36" s="1"/>
      <c r="L36" s="1"/>
      <c r="M36" s="1"/>
    </row>
    <row r="37" spans="1:13" x14ac:dyDescent="0.25">
      <c r="A37" t="s">
        <v>23</v>
      </c>
      <c r="C37" s="5">
        <f ca="1">-C22</f>
        <v>1845268</v>
      </c>
      <c r="D37" s="5">
        <f ca="1">-D22</f>
        <v>1722381</v>
      </c>
      <c r="E37" s="5">
        <f t="shared" ref="E37:G37" ca="1" si="21">-E22</f>
        <v>1469485</v>
      </c>
      <c r="F37" s="5">
        <f t="shared" ca="1" si="21"/>
        <v>1574131</v>
      </c>
      <c r="G37" s="5">
        <f t="shared" ca="1" si="21"/>
        <v>1906947</v>
      </c>
      <c r="H37" s="1"/>
      <c r="I37" s="1"/>
      <c r="J37" s="1"/>
      <c r="K37" s="1"/>
      <c r="L37" s="1"/>
      <c r="M37" s="1"/>
    </row>
    <row r="38" spans="1:13" x14ac:dyDescent="0.25">
      <c r="A38" t="s">
        <v>24</v>
      </c>
      <c r="C38" s="6">
        <f ca="1">-ROUND(C37*RANDBETWEEN(48,58)/100,0)</f>
        <v>-1033350</v>
      </c>
      <c r="D38" s="6">
        <f ca="1">-ROUND(D37*0.54,0)</f>
        <v>-930086</v>
      </c>
      <c r="E38" s="6">
        <f t="shared" ref="E38:G38" ca="1" si="22">-ROUND(E37*0.54,0)</f>
        <v>-793522</v>
      </c>
      <c r="F38" s="6">
        <f t="shared" ca="1" si="22"/>
        <v>-850031</v>
      </c>
      <c r="G38" s="6">
        <f t="shared" ca="1" si="22"/>
        <v>-1029751</v>
      </c>
      <c r="H38" s="2"/>
      <c r="I38" s="2"/>
      <c r="J38" s="2"/>
      <c r="K38" s="2"/>
      <c r="L38" s="2"/>
      <c r="M38" s="2"/>
    </row>
    <row r="39" spans="1:13" x14ac:dyDescent="0.25">
      <c r="A39" t="s">
        <v>25</v>
      </c>
      <c r="C39" s="6">
        <f ca="1">SUM(C24:C38)</f>
        <v>645202</v>
      </c>
      <c r="D39" s="6">
        <f ca="1">SUM(D24:D38)</f>
        <v>137526</v>
      </c>
      <c r="E39" s="6">
        <f t="shared" ref="E39:G39" ca="1" si="23">SUM(E24:E38)</f>
        <v>645917</v>
      </c>
      <c r="F39" s="6">
        <f t="shared" ca="1" si="23"/>
        <v>721585</v>
      </c>
      <c r="G39" s="6">
        <f t="shared" ca="1" si="23"/>
        <v>475110</v>
      </c>
      <c r="H39" s="2"/>
      <c r="I39" s="2"/>
      <c r="J39" s="2"/>
      <c r="K39" s="2"/>
      <c r="L39" s="2"/>
      <c r="M39" s="2"/>
    </row>
    <row r="42" spans="1:13" x14ac:dyDescent="0.25">
      <c r="A42" t="s">
        <v>26</v>
      </c>
      <c r="C42">
        <f ca="1">C10/SUM(C11:C13)</f>
        <v>1.0786565348972565</v>
      </c>
      <c r="D42">
        <f ca="1">D10/SUM(D11:D13)</f>
        <v>0.769037909168793</v>
      </c>
      <c r="E42">
        <f ca="1">E10/SUM(E11:E13)</f>
        <v>0.63229427899096191</v>
      </c>
      <c r="F42">
        <f ca="1">F10/SUM(F11:F13)</f>
        <v>0.54702819199632446</v>
      </c>
      <c r="G42">
        <f ca="1">G10/SUM(G11:G13)</f>
        <v>0.47965401467331115</v>
      </c>
    </row>
    <row r="43" spans="1:13" x14ac:dyDescent="0.25">
      <c r="A43" t="s">
        <v>27</v>
      </c>
      <c r="C43">
        <f ca="1">AVERAGE(B4:C4)/C17*365</f>
        <v>20.981206928512634</v>
      </c>
      <c r="D43">
        <f ca="1">AVERAGE(C4:D4)/D17*365</f>
        <v>18.786395491001489</v>
      </c>
      <c r="E43">
        <f ca="1">AVERAGE(D4:E4)/E17*365</f>
        <v>18.434398631294108</v>
      </c>
      <c r="F43">
        <f ca="1">AVERAGE(E4:F4)/F17*365</f>
        <v>17.832989739702338</v>
      </c>
      <c r="G43">
        <f ca="1">AVERAGE(F4:G4)/G17*365</f>
        <v>17.653841585801167</v>
      </c>
    </row>
    <row r="44" spans="1:13" x14ac:dyDescent="0.25">
      <c r="A44" t="s">
        <v>28</v>
      </c>
      <c r="C44" s="2">
        <f ca="1">AVERAGE(B3:C3)/-C16*365</f>
        <v>29.196663396248137</v>
      </c>
      <c r="D44" s="2">
        <f ca="1">AVERAGE(C3:D3)/-D16*365</f>
        <v>28.378973899637749</v>
      </c>
      <c r="E44" s="2">
        <f ca="1">AVERAGE(D3:E3)/-E16*365</f>
        <v>27.236757762094918</v>
      </c>
      <c r="F44" s="2">
        <f ca="1">AVERAGE(E3:F3)/-F16*365</f>
        <v>26.935951188076956</v>
      </c>
      <c r="G44" s="2">
        <f ca="1">AVERAGE(F3:G3)/-G16*365</f>
        <v>25.515272696968214</v>
      </c>
    </row>
    <row r="45" spans="1:13" x14ac:dyDescent="0.25">
      <c r="A45" t="s">
        <v>29</v>
      </c>
      <c r="C45" s="2">
        <f ca="1">-AVERAGE(B8:C8)/C17*365</f>
        <v>39.529544144116826</v>
      </c>
      <c r="D45" s="2">
        <f ca="1">-AVERAGE(C8:D8)/D17*365</f>
        <v>35.768735155186839</v>
      </c>
      <c r="E45" s="2">
        <f ca="1">-AVERAGE(D8:E8)/E17*365</f>
        <v>35.244475197375159</v>
      </c>
      <c r="F45" s="2">
        <f ca="1">-AVERAGE(E8:F8)/F17*365</f>
        <v>33.986223399273229</v>
      </c>
      <c r="G45" s="2">
        <f ca="1">-AVERAGE(F8:G8)/G17*365</f>
        <v>32.175106007231847</v>
      </c>
    </row>
    <row r="46" spans="1:13" x14ac:dyDescent="0.25">
      <c r="A46" t="s">
        <v>30</v>
      </c>
      <c r="C46" s="2">
        <f ca="1">C43+C44-C45</f>
        <v>10.648326180643949</v>
      </c>
      <c r="D46" s="2">
        <f t="shared" ref="D46:G46" ca="1" si="24">D43+D44-D45</f>
        <v>11.396634235452403</v>
      </c>
      <c r="E46" s="2">
        <f t="shared" ca="1" si="24"/>
        <v>10.426681196013867</v>
      </c>
      <c r="F46" s="2">
        <f t="shared" ca="1" si="24"/>
        <v>10.782717528506069</v>
      </c>
      <c r="G46" s="2">
        <f t="shared" ca="1" si="24"/>
        <v>10.994008275537539</v>
      </c>
    </row>
    <row r="47" spans="1:13" x14ac:dyDescent="0.25">
      <c r="A47" t="s">
        <v>31</v>
      </c>
      <c r="C47" s="2">
        <f ca="1">-SUM(C2:C5)/SUM(C8:C9)</f>
        <v>2.2215672585291122</v>
      </c>
      <c r="D47" s="2">
        <f ca="1">-SUM(D2:D5)/SUM(D8:D9)</f>
        <v>2.2981522312909939</v>
      </c>
      <c r="E47" s="2">
        <f ca="1">-SUM(E2:E5)/SUM(E8:E9)</f>
        <v>2.4408648605556684</v>
      </c>
      <c r="F47" s="2">
        <f ca="1">-SUM(F2:F5)/SUM(F8:F9)</f>
        <v>2.7112383860195082</v>
      </c>
      <c r="G47" s="2">
        <f ca="1">-SUM(G2:G5)/SUM(G8:G9)</f>
        <v>3.0208874336682849</v>
      </c>
    </row>
    <row r="48" spans="1:13" x14ac:dyDescent="0.25">
      <c r="A48" t="s">
        <v>32</v>
      </c>
      <c r="C48" s="2">
        <f ca="1">-SUM(C2:C3)/SUM(C8:C9)</f>
        <v>1.5178666616759013</v>
      </c>
      <c r="D48" s="2">
        <f t="shared" ref="D48:G48" ca="1" si="25">-SUM(D2:D3)/SUM(D8:D9)</f>
        <v>1.5851766533913623</v>
      </c>
      <c r="E48" s="2">
        <f t="shared" ca="1" si="25"/>
        <v>1.7481991447444343</v>
      </c>
      <c r="F48" s="2">
        <f t="shared" ca="1" si="25"/>
        <v>2.006683945960364</v>
      </c>
      <c r="G48" s="2">
        <f t="shared" ca="1" si="25"/>
        <v>2.2588824570308144</v>
      </c>
    </row>
    <row r="49" spans="1:7" x14ac:dyDescent="0.25">
      <c r="A49" t="s">
        <v>33</v>
      </c>
      <c r="C49">
        <f ca="1">C22/SUM(C11:C13)</f>
        <v>0.52569536261586769</v>
      </c>
      <c r="D49">
        <f ca="1">D22/SUM(D11:D13)</f>
        <v>0.40032637279015032</v>
      </c>
      <c r="E49">
        <f ca="1">E22/SUM(E11:E13)</f>
        <v>0.29517184720809175</v>
      </c>
      <c r="F49">
        <f ca="1">F22/SUM(F11:F13)</f>
        <v>0.27604202012974999</v>
      </c>
      <c r="G49">
        <f ca="1">G22/SUM(G11:G13)</f>
        <v>0.28982274422500354</v>
      </c>
    </row>
    <row r="50" spans="1:7" x14ac:dyDescent="0.25">
      <c r="A50" t="s">
        <v>34</v>
      </c>
      <c r="C50" s="2">
        <f ca="1">-C22/SUM(C2:C7)</f>
        <v>0.17935103405396058</v>
      </c>
      <c r="D50" s="2">
        <f ca="1">-D22/SUM(D2:D7)</f>
        <v>0.16201762327947267</v>
      </c>
      <c r="E50" s="2">
        <f ca="1">-E22/SUM(E2:E7)</f>
        <v>0.13077078126439148</v>
      </c>
      <c r="F50" s="2">
        <f ca="1">-F22/SUM(F2:F7)</f>
        <v>0.13244745643375608</v>
      </c>
      <c r="G50" s="2">
        <f ca="1">-G22/SUM(G2:G7)</f>
        <v>0.15033012846133506</v>
      </c>
    </row>
    <row r="52" spans="1:7" x14ac:dyDescent="0.25">
      <c r="A52" t="s">
        <v>35</v>
      </c>
      <c r="C52" s="3">
        <f ca="1">C18/C16</f>
        <v>0.3379999964341231</v>
      </c>
      <c r="D52" s="3">
        <f ca="1">D18/D16</f>
        <v>0.31599998971656323</v>
      </c>
      <c r="E52" s="3">
        <f ca="1">E18/E16</f>
        <v>0.33100000763532605</v>
      </c>
      <c r="F52" s="3">
        <f ca="1">F18/F16</f>
        <v>0.31300000518063759</v>
      </c>
      <c r="G52" s="3">
        <f ca="1">G18/G16</f>
        <v>0.33399999064473096</v>
      </c>
    </row>
    <row r="53" spans="1:7" x14ac:dyDescent="0.25">
      <c r="A53" t="s">
        <v>36</v>
      </c>
      <c r="C53" s="4">
        <f ca="1">C20/C16</f>
        <v>5.2236556198347321E-2</v>
      </c>
      <c r="D53" s="4">
        <f ca="1">D20/D16</f>
        <v>4.4898722668612778E-2</v>
      </c>
      <c r="E53" s="4">
        <f ca="1">E20/E16</f>
        <v>3.6421381068792939E-2</v>
      </c>
      <c r="F53" s="4">
        <f ca="1">F20/F16</f>
        <v>3.8585878039919773E-2</v>
      </c>
      <c r="G53" s="4">
        <f ca="1">G20/G16</f>
        <v>4.3614516013021777E-2</v>
      </c>
    </row>
    <row r="54" spans="1:7" x14ac:dyDescent="0.25">
      <c r="A54" t="s">
        <v>37</v>
      </c>
      <c r="C54" s="4">
        <f ca="1">C22/C16</f>
        <v>4.6999989557074788E-2</v>
      </c>
      <c r="D54" s="4">
        <f ca="1">D22/D16</f>
        <v>4.0999990906775835E-2</v>
      </c>
      <c r="E54" s="4">
        <f ca="1">E22/E16</f>
        <v>3.29999914664003E-2</v>
      </c>
      <c r="F54" s="4">
        <f ca="1">F22/F16</f>
        <v>3.5000009672005832E-2</v>
      </c>
      <c r="G54" s="4">
        <f ca="1">G22/G16</f>
        <v>4.0000005034225496E-2</v>
      </c>
    </row>
    <row r="55" spans="1:7" x14ac:dyDescent="0.25">
      <c r="A55" t="s">
        <v>38</v>
      </c>
      <c r="D55" s="7">
        <f>ROUND(C16*1.05,-3)</f>
        <v>-41224000</v>
      </c>
      <c r="E55" s="7">
        <f t="shared" ref="E55:G55" ca="1" si="26">ROUND(D16*1.05,-3)</f>
        <v>-44110000</v>
      </c>
      <c r="F55" s="7">
        <f t="shared" ca="1" si="26"/>
        <v>-46756000</v>
      </c>
      <c r="G55" s="7">
        <f t="shared" ca="1" si="26"/>
        <v>-47224000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Data</vt:lpstr>
      <vt:lpstr>Layout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 Kusleika</dc:creator>
  <cp:lastModifiedBy>Dick Kusleika</cp:lastModifiedBy>
  <dcterms:created xsi:type="dcterms:W3CDTF">2020-05-19T11:13:57Z</dcterms:created>
  <dcterms:modified xsi:type="dcterms:W3CDTF">2020-05-28T23:32:19Z</dcterms:modified>
</cp:coreProperties>
</file>