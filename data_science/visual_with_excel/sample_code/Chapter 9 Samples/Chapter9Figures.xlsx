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trlProps/ctrlProp1.xml" ContentType="application/vnd.ms-excel.controlproperties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Working\Chapter9\"/>
    </mc:Choice>
  </mc:AlternateContent>
  <xr:revisionPtr revIDLastSave="0" documentId="13_ncr:1_{D8946339-C5A4-47DF-B92B-B11F2F9257BC}" xr6:coauthVersionLast="45" xr6:coauthVersionMax="45" xr10:uidLastSave="{00000000-0000-0000-0000-000000000000}"/>
  <bookViews>
    <workbookView xWindow="28680" yWindow="-120" windowWidth="29040" windowHeight="16440" xr2:uid="{AAA89747-E772-4CCC-9F12-3530AB8761C3}"/>
  </bookViews>
  <sheets>
    <sheet name="9.1" sheetId="1" r:id="rId1"/>
    <sheet name="9.3" sheetId="3" r:id="rId2"/>
    <sheet name="9.4" sheetId="2" r:id="rId3"/>
    <sheet name="9.14" sheetId="4" r:id="rId4"/>
    <sheet name="9.26" sheetId="5" r:id="rId5"/>
    <sheet name="9.27" sheetId="6" r:id="rId6"/>
    <sheet name="9.33" sheetId="7" r:id="rId7"/>
    <sheet name="9.40" sheetId="8" r:id="rId8"/>
    <sheet name="9.49" sheetId="9" r:id="rId9"/>
    <sheet name="9.52" sheetId="11" r:id="rId10"/>
    <sheet name="9.53" sheetId="12" r:id="rId11"/>
    <sheet name="9.55" sheetId="10" r:id="rId12"/>
  </sheets>
  <definedNames>
    <definedName name="_xlchart.v1.0" hidden="1">'9.40'!$B$2:$B$16</definedName>
    <definedName name="_xlchart.v1.1" hidden="1">'9.40'!$C$2:$C$16</definedName>
  </definedNames>
  <calcPr calcId="191029"/>
  <pivotCaches>
    <pivotCache cacheId="5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2" l="1"/>
  <c r="D4" i="12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E2" i="12"/>
  <c r="D3" i="11"/>
  <c r="D4" i="11" s="1"/>
  <c r="A3" i="1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E2" i="11"/>
  <c r="D5" i="12" l="1"/>
  <c r="E4" i="12"/>
  <c r="E3" i="12"/>
  <c r="D5" i="11"/>
  <c r="E4" i="11"/>
  <c r="E3" i="11"/>
  <c r="E2" i="10"/>
  <c r="D3" i="10"/>
  <c r="E3" i="10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D6" i="12" l="1"/>
  <c r="E6" i="12" s="1"/>
  <c r="E5" i="12"/>
  <c r="D6" i="11"/>
  <c r="E6" i="11" s="1"/>
  <c r="E5" i="11"/>
  <c r="D4" i="10"/>
  <c r="G7" i="8"/>
  <c r="F7" i="8"/>
  <c r="F8" i="8" a="1"/>
  <c r="F8" i="8" s="1"/>
  <c r="D9" i="7"/>
  <c r="D3" i="7"/>
  <c r="D4" i="7"/>
  <c r="D6" i="7"/>
  <c r="D7" i="7"/>
  <c r="D11" i="7"/>
  <c r="D12" i="7"/>
  <c r="D5" i="10" l="1"/>
  <c r="E4" i="10"/>
  <c r="G2" i="8"/>
  <c r="G6" i="8"/>
  <c r="G5" i="8"/>
  <c r="F5" i="8"/>
  <c r="G4" i="8"/>
  <c r="G3" i="8"/>
  <c r="F3" i="8"/>
  <c r="F6" i="8"/>
  <c r="F4" i="8"/>
  <c r="F2" i="8"/>
  <c r="D10" i="7"/>
  <c r="D13" i="7"/>
  <c r="D5" i="7"/>
  <c r="D8" i="7"/>
  <c r="D2" i="7"/>
  <c r="B3" i="6"/>
  <c r="B4" i="6" s="1"/>
  <c r="C2" i="6"/>
  <c r="C2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C13" i="5" s="1"/>
  <c r="G5" i="4"/>
  <c r="G2" i="4"/>
  <c r="C3" i="4"/>
  <c r="H3" i="4" s="1"/>
  <c r="C4" i="4"/>
  <c r="H4" i="4" s="1"/>
  <c r="C5" i="4"/>
  <c r="H5" i="4" s="1"/>
  <c r="C6" i="4"/>
  <c r="G6" i="4" s="1"/>
  <c r="C2" i="4"/>
  <c r="H2" i="4" s="1"/>
  <c r="F3" i="4"/>
  <c r="F4" i="4"/>
  <c r="F5" i="4"/>
  <c r="F6" i="4"/>
  <c r="F2" i="4"/>
  <c r="D2" i="4"/>
  <c r="D5" i="4"/>
  <c r="G4" i="4" l="1"/>
  <c r="G3" i="4"/>
  <c r="D4" i="4"/>
  <c r="D3" i="4"/>
  <c r="D6" i="10"/>
  <c r="E6" i="10" s="1"/>
  <c r="E5" i="10"/>
  <c r="B5" i="6"/>
  <c r="C4" i="6"/>
  <c r="C3" i="6"/>
  <c r="C10" i="5"/>
  <c r="C9" i="5"/>
  <c r="C8" i="5"/>
  <c r="C7" i="5"/>
  <c r="C6" i="5"/>
  <c r="C5" i="5"/>
  <c r="C12" i="5"/>
  <c r="C4" i="5"/>
  <c r="C11" i="5"/>
  <c r="C3" i="5"/>
  <c r="H6" i="4"/>
  <c r="D6" i="4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2" i="1"/>
  <c r="C5" i="6" l="1"/>
  <c r="B6" i="6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7" i="6" l="1"/>
  <c r="C6" i="6"/>
  <c r="B8" i="6" l="1"/>
  <c r="C7" i="6"/>
  <c r="B9" i="6" l="1"/>
  <c r="C8" i="6"/>
  <c r="C9" i="6" l="1"/>
  <c r="B10" i="6"/>
  <c r="B11" i="6" l="1"/>
  <c r="C10" i="6"/>
  <c r="B12" i="6" l="1"/>
  <c r="C11" i="6"/>
  <c r="B13" i="6" l="1"/>
  <c r="C13" i="6" s="1"/>
  <c r="C12" i="6"/>
</calcChain>
</file>

<file path=xl/sharedStrings.xml><?xml version="1.0" encoding="utf-8"?>
<sst xmlns="http://schemas.openxmlformats.org/spreadsheetml/2006/main" count="1138" uniqueCount="39">
  <si>
    <t>Month</t>
  </si>
  <si>
    <t>Amount</t>
  </si>
  <si>
    <t>Day</t>
  </si>
  <si>
    <t>Amount1</t>
  </si>
  <si>
    <t>Amount2</t>
  </si>
  <si>
    <t>Amount3</t>
  </si>
  <si>
    <t>Category</t>
  </si>
  <si>
    <t>Value</t>
  </si>
  <si>
    <t>Increase</t>
  </si>
  <si>
    <t>Decrease</t>
  </si>
  <si>
    <t>Value1</t>
  </si>
  <si>
    <t>Value2</t>
  </si>
  <si>
    <t>X</t>
  </si>
  <si>
    <t>Series1</t>
  </si>
  <si>
    <t>Series2</t>
  </si>
  <si>
    <t>Series</t>
  </si>
  <si>
    <t>Min</t>
  </si>
  <si>
    <t>Lower Q</t>
  </si>
  <si>
    <t>Median</t>
  </si>
  <si>
    <t>Upper Q</t>
  </si>
  <si>
    <t>Max</t>
  </si>
  <si>
    <t>Mean</t>
  </si>
  <si>
    <t>Date</t>
  </si>
  <si>
    <t>Region</t>
  </si>
  <si>
    <t>Units</t>
  </si>
  <si>
    <t>Northeast</t>
  </si>
  <si>
    <t>Southeast</t>
  </si>
  <si>
    <t>Midwest</t>
  </si>
  <si>
    <t>West</t>
  </si>
  <si>
    <t>Row Labels</t>
  </si>
  <si>
    <t>Grand Total</t>
  </si>
  <si>
    <t>Sum of Units</t>
  </si>
  <si>
    <t>Column Labels</t>
  </si>
  <si>
    <t>Qtr1</t>
  </si>
  <si>
    <t>Qtr2</t>
  </si>
  <si>
    <t>Qtr3</t>
  </si>
  <si>
    <t>Qtr4</t>
  </si>
  <si>
    <t>Year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</si>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</sst>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mmm"/>
    <numFmt numFmtId="166" formatCode="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1" applyFont="1"/>
    <xf numFmtId="164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9" fontId="0" fillId="0" borderId="0" xfId="2" applyFon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'9.1'!$B$1</c:f>
              <c:strCache>
                <c:ptCount val="1"/>
                <c:pt idx="0">
                  <c:v>Amount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round/>
              <a:headEnd type="none" w="sm" len="sm"/>
              <a:tailEnd type="none"/>
            </a:ln>
            <a:effectLst/>
          </c:spPr>
          <c:marker>
            <c:symbol val="none"/>
          </c:marker>
          <c:cat>
            <c:numRef>
              <c:f>'9.1'!$A$2:$A$13</c:f>
              <c:numCache>
                <c:formatCode>mmm</c:formatCode>
                <c:ptCount val="1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</c:numCache>
            </c:numRef>
          </c:cat>
          <c:val>
            <c:numRef>
              <c:f>'9.1'!$B$2:$B$13</c:f>
              <c:numCache>
                <c:formatCode>_(* #,##0_);_(* \(#,##0\);_(* "-"??_);_(@_)</c:formatCode>
                <c:ptCount val="12"/>
                <c:pt idx="0">
                  <c:v>11966</c:v>
                </c:pt>
                <c:pt idx="1">
                  <c:v>13282</c:v>
                </c:pt>
                <c:pt idx="2">
                  <c:v>15806</c:v>
                </c:pt>
                <c:pt idx="3">
                  <c:v>18809</c:v>
                </c:pt>
                <c:pt idx="4">
                  <c:v>21442</c:v>
                </c:pt>
                <c:pt idx="5">
                  <c:v>25087</c:v>
                </c:pt>
                <c:pt idx="6">
                  <c:v>29352</c:v>
                </c:pt>
                <c:pt idx="7">
                  <c:v>34048</c:v>
                </c:pt>
                <c:pt idx="8">
                  <c:v>40858</c:v>
                </c:pt>
                <c:pt idx="9">
                  <c:v>46170</c:v>
                </c:pt>
                <c:pt idx="10">
                  <c:v>52172</c:v>
                </c:pt>
                <c:pt idx="11">
                  <c:v>62085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B-430B-BC44-C79697264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806552"/>
        <c:axId val="669805896"/>
      </c:lineChart>
      <c:dateAx>
        <c:axId val="669806552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805896"/>
        <c:crosses val="autoZero"/>
        <c:auto val="1"/>
        <c:lblOffset val="100"/>
        <c:baseTimeUnit val="months"/>
      </c:dateAx>
      <c:valAx>
        <c:axId val="66980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806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'9.3'!$B$1</c:f>
              <c:strCache>
                <c:ptCount val="1"/>
                <c:pt idx="0">
                  <c:v>Amount1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'9.3'!$A$2:$A$32</c:f>
              <c:numCache>
                <c:formatCode>dd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'9.3'!$B$2:$B$32</c:f>
              <c:numCache>
                <c:formatCode>_(* #,##0.00_);_(* \(#,##0.00\);_(* "-"??_);_(@_)</c:formatCode>
                <c:ptCount val="31"/>
                <c:pt idx="0">
                  <c:v>20</c:v>
                </c:pt>
                <c:pt idx="1">
                  <c:v>21.44</c:v>
                </c:pt>
                <c:pt idx="2">
                  <c:v>22.812160000000002</c:v>
                </c:pt>
                <c:pt idx="3">
                  <c:v>23.724646400000005</c:v>
                </c:pt>
                <c:pt idx="4">
                  <c:v>25.337922355200007</c:v>
                </c:pt>
                <c:pt idx="5">
                  <c:v>26.95954938593281</c:v>
                </c:pt>
                <c:pt idx="6">
                  <c:v>29.116313336807437</c:v>
                </c:pt>
                <c:pt idx="7">
                  <c:v>31.329153150404803</c:v>
                </c:pt>
                <c:pt idx="8">
                  <c:v>32.958269114225857</c:v>
                </c:pt>
                <c:pt idx="9">
                  <c:v>35.06759833753631</c:v>
                </c:pt>
                <c:pt idx="10">
                  <c:v>37.171654237788488</c:v>
                </c:pt>
                <c:pt idx="11">
                  <c:v>39.253266875104643</c:v>
                </c:pt>
                <c:pt idx="12">
                  <c:v>41.294436752610089</c:v>
                </c:pt>
                <c:pt idx="13">
                  <c:v>44.597991692818901</c:v>
                </c:pt>
                <c:pt idx="14">
                  <c:v>46.738695294074212</c:v>
                </c:pt>
                <c:pt idx="15">
                  <c:v>49.169107449366074</c:v>
                </c:pt>
                <c:pt idx="16">
                  <c:v>51.725901036733113</c:v>
                </c:pt>
                <c:pt idx="17">
                  <c:v>55.450165911377901</c:v>
                </c:pt>
                <c:pt idx="18">
                  <c:v>58.555375202415064</c:v>
                </c:pt>
                <c:pt idx="19">
                  <c:v>60.897590210511666</c:v>
                </c:pt>
                <c:pt idx="20">
                  <c:v>65.525807066510552</c:v>
                </c:pt>
                <c:pt idx="21">
                  <c:v>70.243665175299313</c:v>
                </c:pt>
                <c:pt idx="22">
                  <c:v>75.301209067920865</c:v>
                </c:pt>
                <c:pt idx="23">
                  <c:v>78.313257430637705</c:v>
                </c:pt>
                <c:pt idx="24">
                  <c:v>84.265064995366174</c:v>
                </c:pt>
                <c:pt idx="25">
                  <c:v>87.97272785516229</c:v>
                </c:pt>
                <c:pt idx="26">
                  <c:v>94.306764260733985</c:v>
                </c:pt>
                <c:pt idx="27">
                  <c:v>98.456261888206285</c:v>
                </c:pt>
                <c:pt idx="28">
                  <c:v>105.54511274415714</c:v>
                </c:pt>
                <c:pt idx="29">
                  <c:v>110.18909770490005</c:v>
                </c:pt>
                <c:pt idx="30">
                  <c:v>118.12271273965285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9-41B0-BE0A-DAC8E8205671}"/>
            </c:ext>
          </c:extLst>
        </c:ser>
        <c:ser>
          <c:idx val="1"/>
          <c:order val="1"/>
          <c:tx>
            <c:strRef>
              <c:f>'9.3'!$C$1</c:f>
              <c:strCache>
                <c:ptCount val="1"/>
                <c:pt idx="0">
                  <c:v>Amount2</c:v>
                </c:pt>
              </c:strCache>
            </c:strRef>
          </c:tx>
          <c:spPr>
            <a:ln w="2857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'9.3'!$A$2:$A$32</c:f>
              <c:numCache>
                <c:formatCode>dd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'9.3'!$C$2:$C$32</c:f>
              <c:numCache>
                <c:formatCode>_(* #,##0.00_);_(* \(#,##0.00\);_(* "-"??_);_(@_)</c:formatCode>
                <c:ptCount val="31"/>
                <c:pt idx="0">
                  <c:v>45</c:v>
                </c:pt>
                <c:pt idx="1">
                  <c:v>47.52</c:v>
                </c:pt>
                <c:pt idx="2">
                  <c:v>48.470400000000005</c:v>
                </c:pt>
                <c:pt idx="3">
                  <c:v>51.378624000000009</c:v>
                </c:pt>
                <c:pt idx="4">
                  <c:v>54.666855936000012</c:v>
                </c:pt>
                <c:pt idx="5">
                  <c:v>54.885523359744013</c:v>
                </c:pt>
                <c:pt idx="6">
                  <c:v>50.494681490964496</c:v>
                </c:pt>
                <c:pt idx="7">
                  <c:v>48.272915505362057</c:v>
                </c:pt>
                <c:pt idx="8">
                  <c:v>46.53509054716902</c:v>
                </c:pt>
                <c:pt idx="9">
                  <c:v>49.885617066565189</c:v>
                </c:pt>
                <c:pt idx="10">
                  <c:v>46.493395106038754</c:v>
                </c:pt>
                <c:pt idx="11">
                  <c:v>45.191580043069671</c:v>
                </c:pt>
                <c:pt idx="12">
                  <c:v>42.660851560657768</c:v>
                </c:pt>
                <c:pt idx="13">
                  <c:v>40.613130685746192</c:v>
                </c:pt>
                <c:pt idx="14">
                  <c:v>43.212371049633951</c:v>
                </c:pt>
                <c:pt idx="15">
                  <c:v>42.175274144442739</c:v>
                </c:pt>
                <c:pt idx="16">
                  <c:v>41.33176866155388</c:v>
                </c:pt>
                <c:pt idx="17">
                  <c:v>41.001114512261452</c:v>
                </c:pt>
                <c:pt idx="18">
                  <c:v>38.04903426737863</c:v>
                </c:pt>
                <c:pt idx="19">
                  <c:v>38.962211089795716</c:v>
                </c:pt>
                <c:pt idx="20">
                  <c:v>38.182966867999802</c:v>
                </c:pt>
                <c:pt idx="21">
                  <c:v>41.084872349967789</c:v>
                </c:pt>
                <c:pt idx="22">
                  <c:v>43.385625201565986</c:v>
                </c:pt>
                <c:pt idx="23">
                  <c:v>44.426880206403574</c:v>
                </c:pt>
                <c:pt idx="24">
                  <c:v>46.026247893834103</c:v>
                </c:pt>
                <c:pt idx="25">
                  <c:v>45.658037910683433</c:v>
                </c:pt>
                <c:pt idx="26">
                  <c:v>43.649084242613363</c:v>
                </c:pt>
                <c:pt idx="27">
                  <c:v>40.855542851086106</c:v>
                </c:pt>
                <c:pt idx="28">
                  <c:v>38.894476794233974</c:v>
                </c:pt>
                <c:pt idx="29">
                  <c:v>40.761411680357206</c:v>
                </c:pt>
                <c:pt idx="30">
                  <c:v>39.130955213142919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9-41B0-BE0A-DAC8E8205671}"/>
            </c:ext>
          </c:extLst>
        </c:ser>
        <c:ser>
          <c:idx val="2"/>
          <c:order val="2"/>
          <c:tx>
            <c:strRef>
              <c:f>'9.3'!$D$1</c:f>
              <c:strCache>
                <c:ptCount val="1"/>
                <c:pt idx="0">
                  <c:v>Amount3</c:v>
                </c:pt>
              </c:strCache>
            </c:strRef>
          </c:tx>
          <c:spPr>
            <a:ln w="2857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'9.3'!$A$2:$A$32</c:f>
              <c:numCache>
                <c:formatCode>dd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'9.3'!$D$2:$D$32</c:f>
              <c:numCache>
                <c:formatCode>_(* #,##0.00_);_(* \(#,##0.00\);_(* "-"??_);_(@_)</c:formatCode>
                <c:ptCount val="31"/>
                <c:pt idx="0">
                  <c:v>60</c:v>
                </c:pt>
                <c:pt idx="1">
                  <c:v>57.36</c:v>
                </c:pt>
                <c:pt idx="2">
                  <c:v>56.671680000000002</c:v>
                </c:pt>
                <c:pt idx="3">
                  <c:v>57.351740160000006</c:v>
                </c:pt>
                <c:pt idx="4">
                  <c:v>54.369449671680002</c:v>
                </c:pt>
                <c:pt idx="5">
                  <c:v>51.977193886126081</c:v>
                </c:pt>
                <c:pt idx="6">
                  <c:v>51.977193886126081</c:v>
                </c:pt>
                <c:pt idx="7">
                  <c:v>49.898106130681036</c:v>
                </c:pt>
                <c:pt idx="8">
                  <c:v>52.492807649476454</c:v>
                </c:pt>
                <c:pt idx="9">
                  <c:v>53.542663802465981</c:v>
                </c:pt>
                <c:pt idx="10">
                  <c:v>56.96939428582381</c:v>
                </c:pt>
                <c:pt idx="11">
                  <c:v>58.33665974868358</c:v>
                </c:pt>
                <c:pt idx="12">
                  <c:v>60.436779499636188</c:v>
                </c:pt>
                <c:pt idx="13">
                  <c:v>61.887262207627458</c:v>
                </c:pt>
                <c:pt idx="14">
                  <c:v>59.906869816983381</c:v>
                </c:pt>
                <c:pt idx="15">
                  <c:v>64.699419402342059</c:v>
                </c:pt>
                <c:pt idx="16">
                  <c:v>60.817454238201535</c:v>
                </c:pt>
                <c:pt idx="17">
                  <c:v>63.493422224682405</c:v>
                </c:pt>
                <c:pt idx="18">
                  <c:v>62.223553780188759</c:v>
                </c:pt>
                <c:pt idx="19">
                  <c:v>62.970236425551022</c:v>
                </c:pt>
                <c:pt idx="20">
                  <c:v>64.985283991168657</c:v>
                </c:pt>
                <c:pt idx="21">
                  <c:v>66.025048535027352</c:v>
                </c:pt>
                <c:pt idx="22">
                  <c:v>65.496848146747126</c:v>
                </c:pt>
                <c:pt idx="23">
                  <c:v>61.829024650529284</c:v>
                </c:pt>
                <c:pt idx="24">
                  <c:v>61.829024650529284</c:v>
                </c:pt>
                <c:pt idx="25">
                  <c:v>59.850495861712346</c:v>
                </c:pt>
                <c:pt idx="26">
                  <c:v>58.414083961031245</c:v>
                </c:pt>
                <c:pt idx="27">
                  <c:v>58.180427625187122</c:v>
                </c:pt>
                <c:pt idx="28">
                  <c:v>61.438531572197604</c:v>
                </c:pt>
                <c:pt idx="29">
                  <c:v>63.896072835085512</c:v>
                </c:pt>
                <c:pt idx="30">
                  <c:v>62.873735669724141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A9-41B0-BE0A-DAC8E8205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020976"/>
        <c:axId val="842020320"/>
      </c:lineChart>
      <c:dateAx>
        <c:axId val="842020976"/>
        <c:scaling>
          <c:orientation val="minMax"/>
        </c:scaling>
        <c:delete val="0"/>
        <c:axPos val="b"/>
        <c:numFmt formatCode="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020320"/>
        <c:crosses val="autoZero"/>
        <c:auto val="1"/>
        <c:lblOffset val="100"/>
        <c:baseTimeUnit val="days"/>
      </c:dateAx>
      <c:valAx>
        <c:axId val="84202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02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'9.4'!$B$1</c:f>
              <c:strCache>
                <c:ptCount val="1"/>
                <c:pt idx="0">
                  <c:v>Amount</c:v>
                </c:pt>
              </c:strCache>
            </c:strRef>
          </c:tx>
          <c:spPr>
            <a:ln w="127000" cap="rnd" cmpd="sng">
              <a:solidFill>
                <a:schemeClr val="accent1"/>
              </a:solidFill>
              <a:round/>
              <a:headEnd type="oval" w="sm" len="sm"/>
              <a:tailEnd type="triangle"/>
            </a:ln>
            <a:effectLst/>
          </c:spPr>
          <c:marker>
            <c:symbol val="none"/>
          </c:marker>
          <c:cat>
            <c:numRef>
              <c:f>'9.4'!$A$2:$A$13</c:f>
              <c:numCache>
                <c:formatCode>mmm</c:formatCode>
                <c:ptCount val="1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</c:numCache>
            </c:numRef>
          </c:cat>
          <c:val>
            <c:numRef>
              <c:f>'9.4'!$B$2:$B$13</c:f>
              <c:numCache>
                <c:formatCode>_(* #,##0_);_(* \(#,##0\);_(* "-"??_);_(@_)</c:formatCode>
                <c:ptCount val="12"/>
                <c:pt idx="0">
                  <c:v>11215</c:v>
                </c:pt>
                <c:pt idx="1">
                  <c:v>13009</c:v>
                </c:pt>
                <c:pt idx="2">
                  <c:v>15351</c:v>
                </c:pt>
                <c:pt idx="3">
                  <c:v>17807</c:v>
                </c:pt>
                <c:pt idx="4">
                  <c:v>20122</c:v>
                </c:pt>
                <c:pt idx="5">
                  <c:v>22335</c:v>
                </c:pt>
                <c:pt idx="6">
                  <c:v>25462</c:v>
                </c:pt>
                <c:pt idx="7">
                  <c:v>29281</c:v>
                </c:pt>
                <c:pt idx="8">
                  <c:v>33966</c:v>
                </c:pt>
                <c:pt idx="9">
                  <c:v>37702</c:v>
                </c:pt>
                <c:pt idx="10">
                  <c:v>41472</c:v>
                </c:pt>
                <c:pt idx="11">
                  <c:v>46863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7E-4C31-83AF-83CBB5EBD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806552"/>
        <c:axId val="669805896"/>
      </c:lineChart>
      <c:dateAx>
        <c:axId val="669806552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805896"/>
        <c:crosses val="autoZero"/>
        <c:auto val="1"/>
        <c:lblOffset val="100"/>
        <c:baseTimeUnit val="months"/>
      </c:dateAx>
      <c:valAx>
        <c:axId val="66980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806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'9.14'!$B$1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'9.14'!$A$2:$A$7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'9.14'!$B$2:$B$7</c:f>
              <c:numCache>
                <c:formatCode>General</c:formatCode>
                <c:ptCount val="6"/>
                <c:pt idx="0">
                  <c:v>96</c:v>
                </c:pt>
                <c:pt idx="1">
                  <c:v>68</c:v>
                </c:pt>
                <c:pt idx="2">
                  <c:v>73</c:v>
                </c:pt>
                <c:pt idx="3">
                  <c:v>62</c:v>
                </c:pt>
                <c:pt idx="4">
                  <c:v>81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C-4735-BE53-830A8C253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074808"/>
        <c:axId val="676076120"/>
      </c:barChart>
      <c:scatterChart>
        <c:scatterStyle val="lineMarker"/>
        <c:varyColors val="0"/>
        <c:ser>
          <c:idx val="1"/>
          <c:order val="1"/>
          <c:tx>
            <c:strRef>
              <c:f>'9.14'!$G$1</c:f>
              <c:strCache>
                <c:ptCount val="1"/>
                <c:pt idx="0">
                  <c:v>Increase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5FC-4735-BE53-830A8C253F5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08A52FF-F50C-4D87-ACEA-B019B41740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5FC-4735-BE53-830A8C253F5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5FC-4735-BE53-830A8C253F5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7A06886-8B83-4192-B8A6-FA157C48F6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5FC-4735-BE53-830A8C253F5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5FC-4735-BE53-830A8C253F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1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Ref>
                <c:f>'9.14'!$C$2:$C$6</c:f>
                <c:numCache>
                  <c:formatCode>General</c:formatCode>
                  <c:ptCount val="5"/>
                  <c:pt idx="0">
                    <c:v>-28</c:v>
                  </c:pt>
                  <c:pt idx="1">
                    <c:v>5</c:v>
                  </c:pt>
                  <c:pt idx="2">
                    <c:v>-11</c:v>
                  </c:pt>
                  <c:pt idx="3">
                    <c:v>19</c:v>
                  </c:pt>
                  <c:pt idx="4">
                    <c:v>-32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00B050"/>
                </a:solidFill>
                <a:round/>
                <a:headEnd type="triangle"/>
                <a:tailEnd type="none"/>
              </a:ln>
              <a:effectLst/>
            </c:spPr>
          </c:errBars>
          <c:xVal>
            <c:numRef>
              <c:f>'9.14'!$F$2:$F$6</c:f>
              <c:numCache>
                <c:formatCode>General</c:formatCode>
                <c:ptCount val="5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</c:numCache>
            </c:numRef>
          </c:xVal>
          <c:yVal>
            <c:numRef>
              <c:f>'9.14'!$G$2:$G$6</c:f>
              <c:numCache>
                <c:formatCode>_(* #,##0_);_(* \(#,##0\);_(* "-"??_);_(@_)</c:formatCode>
                <c:ptCount val="5"/>
                <c:pt idx="0">
                  <c:v>#N/A</c:v>
                </c:pt>
                <c:pt idx="1">
                  <c:v>73</c:v>
                </c:pt>
                <c:pt idx="2">
                  <c:v>#N/A</c:v>
                </c:pt>
                <c:pt idx="3">
                  <c:v>81</c:v>
                </c:pt>
                <c:pt idx="4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'9.14'!$D$2:$D$6</c15:f>
                <c15:dlblRangeCache>
                  <c:ptCount val="5"/>
                  <c:pt idx="0">
                    <c:v>-29%</c:v>
                  </c:pt>
                  <c:pt idx="1">
                    <c:v>7%</c:v>
                  </c:pt>
                  <c:pt idx="2">
                    <c:v>-15%</c:v>
                  </c:pt>
                  <c:pt idx="3">
                    <c:v>31%</c:v>
                  </c:pt>
                  <c:pt idx="4">
                    <c:v>-40%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E5FC-4735-BE53-830A8C253F58}"/>
            </c:ext>
          </c:extLst>
        </c:ser>
        <c:ser>
          <c:idx val="2"/>
          <c:order val="2"/>
          <c:tx>
            <c:strRef>
              <c:f>'9.14'!$H$1</c:f>
              <c:strCache>
                <c:ptCount val="1"/>
                <c:pt idx="0">
                  <c:v>Decrease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955648B-1E52-4901-A6F7-8C1882F2EB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5FC-4735-BE53-830A8C253F5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5FC-4735-BE53-830A8C253F5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3877E15-6347-4F9C-875F-1665DAB242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5FC-4735-BE53-830A8C253F5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5FC-4735-BE53-830A8C253F5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FD27ACF-6104-465A-B6DB-0210DCB536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5FC-4735-BE53-830A8C253F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1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Ref>
                <c:f>'9.14'!$C$2:$C$6</c:f>
                <c:numCache>
                  <c:formatCode>General</c:formatCode>
                  <c:ptCount val="5"/>
                  <c:pt idx="0">
                    <c:v>-28</c:v>
                  </c:pt>
                  <c:pt idx="1">
                    <c:v>5</c:v>
                  </c:pt>
                  <c:pt idx="2">
                    <c:v>-11</c:v>
                  </c:pt>
                  <c:pt idx="3">
                    <c:v>19</c:v>
                  </c:pt>
                  <c:pt idx="4">
                    <c:v>-32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round/>
                <a:headEnd type="triangle"/>
                <a:tailEnd type="none"/>
              </a:ln>
              <a:effectLst/>
            </c:spPr>
          </c:errBars>
          <c:xVal>
            <c:numRef>
              <c:f>'9.14'!$F$2:$F$6</c:f>
              <c:numCache>
                <c:formatCode>General</c:formatCode>
                <c:ptCount val="5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</c:numCache>
            </c:numRef>
          </c:xVal>
          <c:yVal>
            <c:numRef>
              <c:f>'9.14'!$H$2:$H$6</c:f>
              <c:numCache>
                <c:formatCode>_(* #,##0_);_(* \(#,##0\);_(* "-"??_);_(@_)</c:formatCode>
                <c:ptCount val="5"/>
                <c:pt idx="0">
                  <c:v>68</c:v>
                </c:pt>
                <c:pt idx="1">
                  <c:v>#N/A</c:v>
                </c:pt>
                <c:pt idx="2">
                  <c:v>62</c:v>
                </c:pt>
                <c:pt idx="3">
                  <c:v>#N/A</c:v>
                </c:pt>
                <c:pt idx="4">
                  <c:v>49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'9.14'!$D$2:$D$6</c15:f>
                <c15:dlblRangeCache>
                  <c:ptCount val="5"/>
                  <c:pt idx="0">
                    <c:v>-29%</c:v>
                  </c:pt>
                  <c:pt idx="1">
                    <c:v>7%</c:v>
                  </c:pt>
                  <c:pt idx="2">
                    <c:v>-15%</c:v>
                  </c:pt>
                  <c:pt idx="3">
                    <c:v>31%</c:v>
                  </c:pt>
                  <c:pt idx="4">
                    <c:v>-40%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E5FC-4735-BE53-830A8C253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074808"/>
        <c:axId val="676076120"/>
      </c:scatterChart>
      <c:catAx>
        <c:axId val="676074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076120"/>
        <c:crosses val="autoZero"/>
        <c:auto val="1"/>
        <c:lblAlgn val="ctr"/>
        <c:lblOffset val="100"/>
        <c:noMultiLvlLbl val="0"/>
      </c:catAx>
      <c:valAx>
        <c:axId val="676076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074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'9.26'!$B$1</c:f>
              <c:strCache>
                <c:ptCount val="1"/>
                <c:pt idx="0">
                  <c:v>Value1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'9.26'!$A$2:$A$13</c:f>
              <c:numCache>
                <c:formatCode>mmm</c:formatCode>
                <c:ptCount val="12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</c:numCache>
            </c:numRef>
          </c:cat>
          <c:val>
            <c:numRef>
              <c:f>'9.26'!$B$2:$B$13</c:f>
              <c:numCache>
                <c:formatCode>General</c:formatCode>
                <c:ptCount val="12"/>
                <c:pt idx="0">
                  <c:v>80</c:v>
                </c:pt>
                <c:pt idx="1">
                  <c:v>86</c:v>
                </c:pt>
                <c:pt idx="2">
                  <c:v>94</c:v>
                </c:pt>
                <c:pt idx="3">
                  <c:v>102</c:v>
                </c:pt>
                <c:pt idx="4">
                  <c:v>109</c:v>
                </c:pt>
                <c:pt idx="5">
                  <c:v>116</c:v>
                </c:pt>
                <c:pt idx="6">
                  <c:v>127</c:v>
                </c:pt>
                <c:pt idx="7">
                  <c:v>136</c:v>
                </c:pt>
                <c:pt idx="8">
                  <c:v>149</c:v>
                </c:pt>
                <c:pt idx="9">
                  <c:v>159</c:v>
                </c:pt>
                <c:pt idx="10">
                  <c:v>169</c:v>
                </c:pt>
                <c:pt idx="11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D-4B23-8CAC-EE555C2BE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839432"/>
        <c:axId val="843840416"/>
      </c:barChart>
      <c:lineChart>
        <c:grouping val="standard"/>
        <c:varyColors val="0"/>
        <c:ser>
          <c:idx val="1"/>
          <c:order val="1"/>
          <c:tx>
            <c:strRef>
              <c:f>'9.26'!$C$1</c:f>
              <c:strCache>
                <c:ptCount val="1"/>
                <c:pt idx="0">
                  <c:v>Value2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'9.26'!$A$2:$A$13</c:f>
              <c:numCache>
                <c:formatCode>mmm</c:formatCode>
                <c:ptCount val="12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</c:numCache>
            </c:numRef>
          </c:cat>
          <c:val>
            <c:numRef>
              <c:f>'9.26'!$C$2:$C$13</c:f>
              <c:numCache>
                <c:formatCode>General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0D-4B23-8CAC-EE555C2BE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5909480"/>
        <c:axId val="855909152"/>
      </c:lineChart>
      <c:dateAx>
        <c:axId val="843839432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40416"/>
        <c:crosses val="autoZero"/>
        <c:auto val="1"/>
        <c:lblOffset val="100"/>
        <c:baseTimeUnit val="months"/>
      </c:dateAx>
      <c:valAx>
        <c:axId val="84384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39432"/>
        <c:crosses val="autoZero"/>
        <c:crossBetween val="between"/>
      </c:valAx>
      <c:valAx>
        <c:axId val="8559091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909480"/>
        <c:crosses val="max"/>
        <c:crossBetween val="between"/>
      </c:valAx>
      <c:dateAx>
        <c:axId val="855909480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extTo"/>
        <c:crossAx val="85590915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'9.27'!$B$1</c:f>
              <c:strCache>
                <c:ptCount val="1"/>
                <c:pt idx="0">
                  <c:v>Value1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'9.27'!$A$2:$A$13</c:f>
              <c:numCache>
                <c:formatCode>mmm</c:formatCode>
                <c:ptCount val="12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</c:numCache>
            </c:numRef>
          </c:cat>
          <c:val>
            <c:numRef>
              <c:f>'9.27'!$B$2:$B$13</c:f>
              <c:numCache>
                <c:formatCode>General</c:formatCode>
                <c:ptCount val="12"/>
                <c:pt idx="0">
                  <c:v>80</c:v>
                </c:pt>
                <c:pt idx="1">
                  <c:v>85</c:v>
                </c:pt>
                <c:pt idx="2">
                  <c:v>93</c:v>
                </c:pt>
                <c:pt idx="3">
                  <c:v>102</c:v>
                </c:pt>
                <c:pt idx="4">
                  <c:v>110</c:v>
                </c:pt>
                <c:pt idx="5">
                  <c:v>119</c:v>
                </c:pt>
                <c:pt idx="6">
                  <c:v>127</c:v>
                </c:pt>
                <c:pt idx="7">
                  <c:v>136</c:v>
                </c:pt>
                <c:pt idx="8">
                  <c:v>144</c:v>
                </c:pt>
                <c:pt idx="9">
                  <c:v>151</c:v>
                </c:pt>
                <c:pt idx="10">
                  <c:v>162</c:v>
                </c:pt>
                <c:pt idx="11">
                  <c:v>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47-47A2-BD0E-D272FEE9D081}"/>
            </c:ext>
          </c:extLst>
        </c:ser>
        <c:ser>
          <c:idx val="1"/>
          <c:order val="1"/>
          <c:tx>
            <c:strRef>
              <c:f>'9.27'!$C$1</c:f>
              <c:strCache>
                <c:ptCount val="1"/>
                <c:pt idx="0">
                  <c:v>Value2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'9.27'!$A$2:$A$13</c:f>
              <c:numCache>
                <c:formatCode>mmm</c:formatCode>
                <c:ptCount val="12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</c:numCache>
            </c:numRef>
          </c:cat>
          <c:val>
            <c:numRef>
              <c:f>'9.27'!$C$2:$C$13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4</c:v>
                </c:pt>
                <c:pt idx="5">
                  <c:v>8</c:v>
                </c:pt>
                <c:pt idx="6">
                  <c:v>5</c:v>
                </c:pt>
                <c:pt idx="7">
                  <c:v>8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47-47A2-BD0E-D272FEE9D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3839432"/>
        <c:axId val="843840416"/>
      </c:lineChart>
      <c:dateAx>
        <c:axId val="843839432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40416"/>
        <c:crosses val="autoZero"/>
        <c:auto val="1"/>
        <c:lblOffset val="100"/>
        <c:baseTimeUnit val="months"/>
      </c:dateAx>
      <c:valAx>
        <c:axId val="84384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39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'9.33'!$B$1</c:f>
              <c:strCache>
                <c:ptCount val="1"/>
                <c:pt idx="0">
                  <c:v>Series1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1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Ref>
                <c:f>'9.33'!$D$2:$D$13</c:f>
                <c:numCache>
                  <c:formatCode>General</c:formatCode>
                  <c:ptCount val="12"/>
                  <c:pt idx="0">
                    <c:v>46</c:v>
                  </c:pt>
                  <c:pt idx="1">
                    <c:v>192</c:v>
                  </c:pt>
                  <c:pt idx="2">
                    <c:v>-28</c:v>
                  </c:pt>
                  <c:pt idx="3">
                    <c:v>-43</c:v>
                  </c:pt>
                  <c:pt idx="4">
                    <c:v>-89</c:v>
                  </c:pt>
                  <c:pt idx="5">
                    <c:v>-152</c:v>
                  </c:pt>
                  <c:pt idx="6">
                    <c:v>54</c:v>
                  </c:pt>
                  <c:pt idx="7">
                    <c:v>-82</c:v>
                  </c:pt>
                  <c:pt idx="8">
                    <c:v>39</c:v>
                  </c:pt>
                  <c:pt idx="9">
                    <c:v>17</c:v>
                  </c:pt>
                  <c:pt idx="10">
                    <c:v>152</c:v>
                  </c:pt>
                  <c:pt idx="11">
                    <c:v>130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  <a:tailEnd type="triangle"/>
              </a:ln>
              <a:effectLst/>
            </c:spPr>
          </c:errBars>
          <c:cat>
            <c:numRef>
              <c:f>'9.33'!$A$2:$A$13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'9.33'!$B$2:$B$13</c:f>
              <c:numCache>
                <c:formatCode>General</c:formatCode>
                <c:ptCount val="12"/>
                <c:pt idx="0">
                  <c:v>327</c:v>
                </c:pt>
                <c:pt idx="1">
                  <c:v>449</c:v>
                </c:pt>
                <c:pt idx="2">
                  <c:v>401</c:v>
                </c:pt>
                <c:pt idx="3">
                  <c:v>386</c:v>
                </c:pt>
                <c:pt idx="4">
                  <c:v>387</c:v>
                </c:pt>
                <c:pt idx="5">
                  <c:v>273</c:v>
                </c:pt>
                <c:pt idx="6">
                  <c:v>422</c:v>
                </c:pt>
                <c:pt idx="7">
                  <c:v>293</c:v>
                </c:pt>
                <c:pt idx="8">
                  <c:v>297</c:v>
                </c:pt>
                <c:pt idx="9">
                  <c:v>321</c:v>
                </c:pt>
                <c:pt idx="10">
                  <c:v>447</c:v>
                </c:pt>
                <c:pt idx="11">
                  <c:v>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6D-421C-B9C0-B9748C9AA88D}"/>
            </c:ext>
          </c:extLst>
        </c:ser>
        <c:ser>
          <c:idx val="1"/>
          <c:order val="1"/>
          <c:tx>
            <c:strRef>
              <c:f>'9.33'!$C$1</c:f>
              <c:strCache>
                <c:ptCount val="1"/>
                <c:pt idx="0">
                  <c:v>Series2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'9.33'!$A$2:$A$13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'9.33'!$C$2:$C$13</c:f>
              <c:numCache>
                <c:formatCode>General</c:formatCode>
                <c:ptCount val="12"/>
                <c:pt idx="0">
                  <c:v>281</c:v>
                </c:pt>
                <c:pt idx="1">
                  <c:v>257</c:v>
                </c:pt>
                <c:pt idx="2">
                  <c:v>429</c:v>
                </c:pt>
                <c:pt idx="3">
                  <c:v>429</c:v>
                </c:pt>
                <c:pt idx="4">
                  <c:v>476</c:v>
                </c:pt>
                <c:pt idx="5">
                  <c:v>425</c:v>
                </c:pt>
                <c:pt idx="6">
                  <c:v>368</c:v>
                </c:pt>
                <c:pt idx="7">
                  <c:v>375</c:v>
                </c:pt>
                <c:pt idx="8">
                  <c:v>258</c:v>
                </c:pt>
                <c:pt idx="9">
                  <c:v>304</c:v>
                </c:pt>
                <c:pt idx="10">
                  <c:v>295</c:v>
                </c:pt>
                <c:pt idx="11">
                  <c:v>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6D-421C-B9C0-B9748C9AA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124760"/>
        <c:axId val="701125416"/>
      </c:lineChart>
      <c:catAx>
        <c:axId val="701124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125416"/>
        <c:crosses val="autoZero"/>
        <c:auto val="1"/>
        <c:lblAlgn val="ctr"/>
        <c:lblOffset val="100"/>
        <c:noMultiLvlLbl val="0"/>
      </c:catAx>
      <c:valAx>
        <c:axId val="701125416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124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[Chapter9Figures.xlsx]9.49!PivotTable8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'9.49'!$K$12:$K$13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'9.49'!$J$14:$J$18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'9.49'!$K$14:$K$18</c:f>
              <c:numCache>
                <c:formatCode>General</c:formatCode>
                <c:ptCount val="4"/>
                <c:pt idx="0">
                  <c:v>85248</c:v>
                </c:pt>
                <c:pt idx="1">
                  <c:v>49801</c:v>
                </c:pt>
                <c:pt idx="2">
                  <c:v>69001</c:v>
                </c:pt>
                <c:pt idx="3">
                  <c:v>63659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D-4DCE-9861-C88BB465AD50}"/>
            </c:ext>
          </c:extLst>
        </c:ser>
        <c:ser>
          <c:idx val="1"/>
          <c:order val="1"/>
          <c:tx>
            <c:strRef>
              <c:f>'9.49'!$L$12:$L$13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'9.49'!$J$14:$J$18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'9.49'!$L$14:$L$18</c:f>
              <c:numCache>
                <c:formatCode>General</c:formatCode>
                <c:ptCount val="4"/>
                <c:pt idx="0">
                  <c:v>70867</c:v>
                </c:pt>
                <c:pt idx="1">
                  <c:v>55574</c:v>
                </c:pt>
                <c:pt idx="2">
                  <c:v>81493</c:v>
                </c:pt>
                <c:pt idx="3">
                  <c:v>70658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CD-4DCE-9861-C88BB465AD50}"/>
            </c:ext>
          </c:extLst>
        </c:ser>
        <c:ser>
          <c:idx val="2"/>
          <c:order val="2"/>
          <c:tx>
            <c:strRef>
              <c:f>'9.49'!$M$12:$M$13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'9.49'!$J$14:$J$18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'9.49'!$M$14:$M$18</c:f>
              <c:numCache>
                <c:formatCode>General</c:formatCode>
                <c:ptCount val="4"/>
                <c:pt idx="0">
                  <c:v>59771</c:v>
                </c:pt>
                <c:pt idx="1">
                  <c:v>50959</c:v>
                </c:pt>
                <c:pt idx="2">
                  <c:v>78946</c:v>
                </c:pt>
                <c:pt idx="3">
                  <c:v>59757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CD-4DCE-9861-C88BB465AD50}"/>
            </c:ext>
          </c:extLst>
        </c:ser>
        <c:ser>
          <c:idx val="3"/>
          <c:order val="3"/>
          <c:tx>
            <c:strRef>
              <c:f>'9.49'!$N$12:$N$13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'9.49'!$J$14:$J$18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'9.49'!$N$14:$N$18</c:f>
              <c:numCache>
                <c:formatCode>General</c:formatCode>
                <c:ptCount val="4"/>
                <c:pt idx="0">
                  <c:v>76037</c:v>
                </c:pt>
                <c:pt idx="1">
                  <c:v>64826</c:v>
                </c:pt>
                <c:pt idx="2">
                  <c:v>67938</c:v>
                </c:pt>
                <c:pt idx="3">
                  <c:v>81061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CD-4DCE-9861-C88BB465A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874288"/>
        <c:axId val="687858336"/>
      </c:barChart>
      <c:catAx>
        <c:axId val="55887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58336"/>
        <c:crosses val="autoZero"/>
        <c:auto val="1"/>
        <c:lblAlgn val="ctr"/>
        <c:lblOffset val="100"/>
        <c:noMultiLvlLbl val="0"/>
      </c:catAx>
      <c:valAx>
        <c:axId val="68785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87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'9.52'!$E$1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'9.52'!$D$2:$D$6</c:f>
              <c:numCache>
                <c:formatCode>General</c:formatCode>
                <c:ptCount val="5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</c:numCache>
            </c:numRef>
          </c:cat>
          <c:val>
            <c:numRef>
              <c:f>'9.52'!$E$2:$E$6</c:f>
              <c:numCache>
                <c:formatCode>_(* #,##0_);_(* \(#,##0\);_(* "-"??_);_(@_)</c:formatCode>
                <c:ptCount val="5"/>
                <c:pt idx="0">
                  <c:v>612543</c:v>
                </c:pt>
                <c:pt idx="1">
                  <c:v>600292</c:v>
                </c:pt>
                <c:pt idx="2">
                  <c:v>636310</c:v>
                </c:pt>
                <c:pt idx="3">
                  <c:v>661762</c:v>
                </c:pt>
                <c:pt idx="4">
                  <c:v>668380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DD-42B0-AB0C-018B1C86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476128"/>
        <c:axId val="709476456"/>
      </c:lineChart>
      <c:catAx>
        <c:axId val="70947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476456"/>
        <c:crosses val="autoZero"/>
        <c:auto val="1"/>
        <c:lblAlgn val="ctr"/>
        <c:lblOffset val="100"/>
        <c:noMultiLvlLbl val="0"/>
      </c:catAx>
      <c:valAx>
        <c:axId val="70947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47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'9.53'!$E$1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'9.53'!$D$2:$D$6</c:f>
              <c:numCache>
                <c:formatCode>General</c:formatCode>
                <c:ptCount val="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</c:numCache>
            </c:numRef>
          </c:cat>
          <c:val>
            <c:numRef>
              <c:f>'9.53'!$E$2:$E$6</c:f>
              <c:numCache>
                <c:formatCode>_(* #,##0_);_(* \(#,##0\);_(* "-"??_);_(@_)</c:formatCode>
                <c:ptCount val="5"/>
                <c:pt idx="0">
                  <c:v>756932</c:v>
                </c:pt>
                <c:pt idx="1">
                  <c:v>825056</c:v>
                </c:pt>
                <c:pt idx="2">
                  <c:v>907562</c:v>
                </c:pt>
                <c:pt idx="3">
                  <c:v>980167</c:v>
                </c:pt>
                <c:pt idx="4">
                  <c:v>989969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DE-414A-9701-B1CA4A926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476128"/>
        <c:axId val="709476456"/>
      </c:lineChart>
      <c:catAx>
        <c:axId val="70947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476456"/>
        <c:crosses val="autoZero"/>
        <c:auto val="1"/>
        <c:lblAlgn val="ctr"/>
        <c:lblOffset val="100"/>
        <c:noMultiLvlLbl val="0"/>
      </c:catAx>
      <c:valAx>
        <c:axId val="70947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47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'9.55'!$E$1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'9.55'!$D$2:$D$6</c:f>
              <c:numCache>
                <c:formatCode>General</c:formatCod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numCache>
            </c:numRef>
          </c:cat>
          <c:val>
            <c:numRef>
              <c:f>'9.55'!$E$2:$E$6</c:f>
              <c:numCache>
                <c:formatCode>_(* #,##0_);_(* \(#,##0\);_(* "-"??_);_(@_)</c:formatCode>
                <c:ptCount val="5"/>
                <c:pt idx="0">
                  <c:v>1143054</c:v>
                </c:pt>
                <c:pt idx="1">
                  <c:v>1108762</c:v>
                </c:pt>
                <c:pt idx="2">
                  <c:v>1064412</c:v>
                </c:pt>
                <c:pt idx="3">
                  <c:v>1160209</c:v>
                </c:pt>
                <c:pt idx="4">
                  <c:v>1195015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E-47DF-993F-13C270015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476128"/>
        <c:axId val="709476456"/>
      </c:lineChart>
      <c:catAx>
        <c:axId val="70947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476456"/>
        <c:crosses val="autoZero"/>
        <c:auto val="1"/>
        <c:lblAlgn val="ctr"/>
        <c:lblOffset val="100"/>
        <c:noMultiLvlLbl val="0"/>
      </c:catAx>
      <c:valAx>
        <c:axId val="70947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47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plotArea>
      <cx:plotAreaRegion>
        <cx:series layoutId="boxWhisker" uniqueId="{96189AA9-B5D6-4374-9970-C45097AA60EE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1B6197F-FAF1-4E69-8688-263C8FD7EAF2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D$2" horiz="1" max="2017" min="1993" page="0" val="2008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12</xdr:row>
      <xdr:rowOff>161925</xdr:rowOff>
    </xdr:from>
    <xdr:to>
      <xdr:col>18</xdr:col>
      <xdr:colOff>95250</xdr:colOff>
      <xdr:row>27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257175</xdr:colOff>
      <xdr:row>9</xdr:row>
      <xdr:rowOff>42862</xdr:rowOff>
    </xdr:from>
    <xdr:to>
      <xdr:col>17</xdr:col>
      <xdr:colOff>561975</xdr:colOff>
      <xdr:row>23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12</xdr:row>
      <xdr:rowOff>161925</xdr:rowOff>
    </xdr:from>
    <xdr:to>
      <xdr:col>18</xdr:col>
      <xdr:colOff>95250</xdr:colOff>
      <xdr:row>27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12</xdr:row>
      <xdr:rowOff>161925</xdr:rowOff>
    </xdr:from>
    <xdr:to>
      <xdr:col>19</xdr:col>
      <xdr:colOff>228600</xdr:colOff>
      <xdr:row>27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12</xdr:row>
      <xdr:rowOff>161925</xdr:rowOff>
    </xdr:from>
    <xdr:to>
      <xdr:col>15</xdr:col>
      <xdr:colOff>457200</xdr:colOff>
      <xdr:row>27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12</xdr:row>
      <xdr:rowOff>161925</xdr:rowOff>
    </xdr:from>
    <xdr:to>
      <xdr:col>15</xdr:col>
      <xdr:colOff>457200</xdr:colOff>
      <xdr:row>27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12</xdr:row>
      <xdr:rowOff>161925</xdr:rowOff>
    </xdr:from>
    <xdr:to>
      <xdr:col>18</xdr:col>
      <xdr:colOff>228600</xdr:colOff>
      <xdr:row>27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12</xdr:row>
      <xdr:rowOff>161925</xdr:rowOff>
    </xdr:from>
    <xdr:to>
      <xdr:col>15</xdr:col>
      <xdr:colOff>561975</xdr:colOff>
      <xdr:row>27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7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33975" y="24479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714375</xdr:colOff>
      <xdr:row>18</xdr:row>
      <xdr:rowOff>28575</xdr:rowOff>
    </xdr:from>
    <xdr:to>
      <xdr:col>18</xdr:col>
      <xdr:colOff>409575</xdr:colOff>
      <xdr:row>32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8</xdr:row>
      <xdr:rowOff>19050</xdr:rowOff>
    </xdr:from>
    <xdr:to>
      <xdr:col>17</xdr:col>
      <xdr:colOff>76200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8</xdr:row>
      <xdr:rowOff>19050</xdr:rowOff>
    </xdr:from>
    <xdr:to>
      <xdr:col>17</xdr:col>
      <xdr:colOff>76200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8</xdr:row>
      <xdr:rowOff>19050</xdr:rowOff>
    </xdr:from>
    <xdr:to>
      <xdr:col>17</xdr:col>
      <xdr:colOff>76200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381000</xdr:colOff>
          <xdr:row>23</xdr:row>
          <xdr:rowOff>171450</xdr:rowOff>
        </xdr:from>
        <xdr:to>
          <xdr:col>17</xdr:col>
          <xdr:colOff>76200</xdr:colOff>
          <xdr:row>24</xdr:row>
          <xdr:rowOff>161925</xdr:rowOff>
        </xdr:to>
        <xdr:sp macro="" textlink="">
          <xdr:nvSpPr>
            <xdr:cNvPr id="10241" name="Scroll Ba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B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ck Kusleika" refreshedDate="43933.503576388888" createdVersion="6" refreshedVersion="6" minRefreshableVersion="3" recordCount="1082" xr:uid="{F27BA3FB-CF79-485E-9E18-E967467A0A0D}">
  <cacheSource type="worksheet">
    <worksheetSource ref="A1:C1083" sheet="9.49"/>
  </cacheSource>
  <cacheFields count="3">
    <cacheField name="Date" numFmtId="14">
      <sharedItems containsSemiMixedTypes="0" containsNonDate="0" containsDate="1" containsString="0" minDate="2021-01-01T00:00:00" maxDate="2022-01-01T00:00:00" count="345">
        <d v="2021-01-01T00:00:00"/>
        <d v="2021-07-06T00:00:00"/>
        <d v="2021-07-20T00:00:00"/>
        <d v="2021-01-20T00:00:00"/>
        <d v="2021-08-16T00:00:00"/>
        <d v="2021-12-09T00:00:00"/>
        <d v="2021-02-21T00:00:00"/>
        <d v="2021-05-24T00:00:00"/>
        <d v="2021-06-22T00:00:00"/>
        <d v="2021-05-05T00:00:00"/>
        <d v="2021-01-31T00:00:00"/>
        <d v="2021-01-13T00:00:00"/>
        <d v="2021-08-02T00:00:00"/>
        <d v="2021-07-08T00:00:00"/>
        <d v="2021-11-12T00:00:00"/>
        <d v="2021-12-05T00:00:00"/>
        <d v="2021-04-28T00:00:00"/>
        <d v="2021-02-01T00:00:00"/>
        <d v="2021-08-30T00:00:00"/>
        <d v="2021-01-04T00:00:00"/>
        <d v="2021-02-17T00:00:00"/>
        <d v="2021-01-18T00:00:00"/>
        <d v="2021-08-25T00:00:00"/>
        <d v="2021-03-30T00:00:00"/>
        <d v="2021-09-17T00:00:00"/>
        <d v="2021-05-28T00:00:00"/>
        <d v="2021-06-18T00:00:00"/>
        <d v="2021-01-12T00:00:00"/>
        <d v="2021-03-12T00:00:00"/>
        <d v="2021-06-14T00:00:00"/>
        <d v="2021-08-13T00:00:00"/>
        <d v="2021-02-02T00:00:00"/>
        <d v="2021-10-12T00:00:00"/>
        <d v="2021-11-01T00:00:00"/>
        <d v="2021-01-17T00:00:00"/>
        <d v="2021-02-14T00:00:00"/>
        <d v="2021-05-08T00:00:00"/>
        <d v="2021-02-27T00:00:00"/>
        <d v="2021-03-02T00:00:00"/>
        <d v="2021-11-09T00:00:00"/>
        <d v="2021-10-25T00:00:00"/>
        <d v="2021-06-11T00:00:00"/>
        <d v="2021-02-10T00:00:00"/>
        <d v="2021-01-11T00:00:00"/>
        <d v="2021-07-31T00:00:00"/>
        <d v="2021-12-10T00:00:00"/>
        <d v="2021-01-30T00:00:00"/>
        <d v="2021-06-01T00:00:00"/>
        <d v="2021-12-08T00:00:00"/>
        <d v="2021-01-21T00:00:00"/>
        <d v="2021-09-21T00:00:00"/>
        <d v="2021-07-01T00:00:00"/>
        <d v="2021-10-14T00:00:00"/>
        <d v="2021-10-15T00:00:00"/>
        <d v="2021-02-20T00:00:00"/>
        <d v="2021-09-06T00:00:00"/>
        <d v="2021-04-17T00:00:00"/>
        <d v="2021-12-29T00:00:00"/>
        <d v="2021-02-18T00:00:00"/>
        <d v="2021-04-15T00:00:00"/>
        <d v="2021-02-11T00:00:00"/>
        <d v="2021-09-10T00:00:00"/>
        <d v="2021-05-03T00:00:00"/>
        <d v="2021-11-21T00:00:00"/>
        <d v="2021-10-20T00:00:00"/>
        <d v="2021-12-30T00:00:00"/>
        <d v="2021-06-03T00:00:00"/>
        <d v="2021-07-04T00:00:00"/>
        <d v="2021-04-30T00:00:00"/>
        <d v="2021-07-07T00:00:00"/>
        <d v="2021-07-29T00:00:00"/>
        <d v="2021-07-19T00:00:00"/>
        <d v="2021-09-29T00:00:00"/>
        <d v="2021-12-15T00:00:00"/>
        <d v="2021-10-04T00:00:00"/>
        <d v="2021-09-24T00:00:00"/>
        <d v="2021-09-02T00:00:00"/>
        <d v="2021-08-23T00:00:00"/>
        <d v="2021-01-09T00:00:00"/>
        <d v="2021-12-23T00:00:00"/>
        <d v="2021-02-15T00:00:00"/>
        <d v="2021-05-17T00:00:00"/>
        <d v="2021-08-29T00:00:00"/>
        <d v="2021-12-17T00:00:00"/>
        <d v="2021-06-30T00:00:00"/>
        <d v="2021-07-16T00:00:00"/>
        <d v="2021-05-06T00:00:00"/>
        <d v="2021-06-09T00:00:00"/>
        <d v="2021-08-18T00:00:00"/>
        <d v="2021-06-07T00:00:00"/>
        <d v="2021-11-10T00:00:00"/>
        <d v="2021-03-16T00:00:00"/>
        <d v="2021-06-17T00:00:00"/>
        <d v="2021-12-06T00:00:00"/>
        <d v="2021-11-26T00:00:00"/>
        <d v="2021-06-06T00:00:00"/>
        <d v="2021-11-24T00:00:00"/>
        <d v="2021-12-11T00:00:00"/>
        <d v="2021-04-05T00:00:00"/>
        <d v="2021-05-26T00:00:00"/>
        <d v="2021-09-19T00:00:00"/>
        <d v="2021-03-26T00:00:00"/>
        <d v="2021-03-21T00:00:00"/>
        <d v="2021-01-07T00:00:00"/>
        <d v="2021-11-16T00:00:00"/>
        <d v="2021-03-01T00:00:00"/>
        <d v="2021-05-30T00:00:00"/>
        <d v="2021-01-23T00:00:00"/>
        <d v="2021-12-26T00:00:00"/>
        <d v="2021-10-22T00:00:00"/>
        <d v="2021-03-25T00:00:00"/>
        <d v="2021-11-18T00:00:00"/>
        <d v="2021-04-16T00:00:00"/>
        <d v="2021-10-18T00:00:00"/>
        <d v="2021-09-18T00:00:00"/>
        <d v="2021-07-05T00:00:00"/>
        <d v="2021-05-13T00:00:00"/>
        <d v="2021-10-17T00:00:00"/>
        <d v="2021-08-10T00:00:00"/>
        <d v="2021-11-28T00:00:00"/>
        <d v="2021-07-22T00:00:00"/>
        <d v="2021-08-31T00:00:00"/>
        <d v="2021-02-24T00:00:00"/>
        <d v="2021-04-04T00:00:00"/>
        <d v="2021-10-27T00:00:00"/>
        <d v="2021-08-17T00:00:00"/>
        <d v="2021-04-01T00:00:00"/>
        <d v="2021-06-29T00:00:00"/>
        <d v="2021-02-28T00:00:00"/>
        <d v="2021-08-26T00:00:00"/>
        <d v="2021-10-11T00:00:00"/>
        <d v="2021-07-27T00:00:00"/>
        <d v="2021-08-27T00:00:00"/>
        <d v="2021-02-16T00:00:00"/>
        <d v="2021-02-19T00:00:00"/>
        <d v="2021-03-18T00:00:00"/>
        <d v="2021-09-14T00:00:00"/>
        <d v="2021-06-21T00:00:00"/>
        <d v="2021-04-29T00:00:00"/>
        <d v="2021-08-11T00:00:00"/>
        <d v="2021-10-19T00:00:00"/>
        <d v="2021-07-13T00:00:00"/>
        <d v="2021-08-12T00:00:00"/>
        <d v="2021-06-08T00:00:00"/>
        <d v="2021-02-03T00:00:00"/>
        <d v="2021-05-25T00:00:00"/>
        <d v="2021-09-08T00:00:00"/>
        <d v="2021-10-29T00:00:00"/>
        <d v="2021-02-22T00:00:00"/>
        <d v="2021-12-31T00:00:00"/>
        <d v="2021-03-22T00:00:00"/>
        <d v="2021-06-10T00:00:00"/>
        <d v="2021-08-07T00:00:00"/>
        <d v="2021-10-28T00:00:00"/>
        <d v="2021-06-26T00:00:00"/>
        <d v="2021-12-03T00:00:00"/>
        <d v="2021-04-10T00:00:00"/>
        <d v="2021-06-04T00:00:00"/>
        <d v="2021-07-02T00:00:00"/>
        <d v="2021-03-27T00:00:00"/>
        <d v="2021-11-17T00:00:00"/>
        <d v="2021-05-31T00:00:00"/>
        <d v="2021-04-14T00:00:00"/>
        <d v="2021-12-27T00:00:00"/>
        <d v="2021-07-24T00:00:00"/>
        <d v="2021-12-18T00:00:00"/>
        <d v="2021-11-25T00:00:00"/>
        <d v="2021-05-19T00:00:00"/>
        <d v="2021-07-26T00:00:00"/>
        <d v="2021-12-24T00:00:00"/>
        <d v="2021-04-25T00:00:00"/>
        <d v="2021-12-12T00:00:00"/>
        <d v="2021-10-05T00:00:00"/>
        <d v="2021-04-21T00:00:00"/>
        <d v="2021-05-20T00:00:00"/>
        <d v="2021-01-24T00:00:00"/>
        <d v="2021-08-06T00:00:00"/>
        <d v="2021-04-24T00:00:00"/>
        <d v="2021-07-21T00:00:00"/>
        <d v="2021-02-25T00:00:00"/>
        <d v="2021-03-31T00:00:00"/>
        <d v="2021-12-07T00:00:00"/>
        <d v="2021-01-26T00:00:00"/>
        <d v="2021-02-07T00:00:00"/>
        <d v="2021-05-04T00:00:00"/>
        <d v="2021-07-30T00:00:00"/>
        <d v="2021-10-13T00:00:00"/>
        <d v="2021-03-03T00:00:00"/>
        <d v="2021-10-21T00:00:00"/>
        <d v="2021-01-19T00:00:00"/>
        <d v="2021-01-27T00:00:00"/>
        <d v="2021-06-19T00:00:00"/>
        <d v="2021-11-13T00:00:00"/>
        <d v="2021-03-20T00:00:00"/>
        <d v="2021-05-09T00:00:00"/>
        <d v="2021-09-15T00:00:00"/>
        <d v="2021-06-02T00:00:00"/>
        <d v="2021-09-12T00:00:00"/>
        <d v="2021-04-19T00:00:00"/>
        <d v="2021-02-04T00:00:00"/>
        <d v="2021-01-25T00:00:00"/>
        <d v="2021-03-29T00:00:00"/>
        <d v="2021-02-26T00:00:00"/>
        <d v="2021-10-31T00:00:00"/>
        <d v="2021-08-24T00:00:00"/>
        <d v="2021-08-03T00:00:00"/>
        <d v="2021-10-08T00:00:00"/>
        <d v="2021-07-10T00:00:00"/>
        <d v="2021-05-12T00:00:00"/>
        <d v="2021-08-22T00:00:00"/>
        <d v="2021-07-23T00:00:00"/>
        <d v="2021-03-10T00:00:00"/>
        <d v="2021-02-13T00:00:00"/>
        <d v="2021-09-27T00:00:00"/>
        <d v="2021-04-06T00:00:00"/>
        <d v="2021-03-24T00:00:00"/>
        <d v="2021-03-04T00:00:00"/>
        <d v="2021-11-02T00:00:00"/>
        <d v="2021-06-20T00:00:00"/>
        <d v="2021-12-25T00:00:00"/>
        <d v="2021-09-23T00:00:00"/>
        <d v="2021-01-06T00:00:00"/>
        <d v="2021-09-11T00:00:00"/>
        <d v="2021-03-05T00:00:00"/>
        <d v="2021-01-29T00:00:00"/>
        <d v="2021-04-02T00:00:00"/>
        <d v="2021-11-06T00:00:00"/>
        <d v="2021-11-07T00:00:00"/>
        <d v="2021-10-16T00:00:00"/>
        <d v="2021-12-20T00:00:00"/>
        <d v="2021-09-30T00:00:00"/>
        <d v="2021-09-20T00:00:00"/>
        <d v="2021-06-23T00:00:00"/>
        <d v="2021-01-22T00:00:00"/>
        <d v="2021-10-26T00:00:00"/>
        <d v="2021-11-03T00:00:00"/>
        <d v="2021-10-07T00:00:00"/>
        <d v="2021-09-13T00:00:00"/>
        <d v="2021-09-03T00:00:00"/>
        <d v="2021-06-13T00:00:00"/>
        <d v="2021-03-06T00:00:00"/>
        <d v="2021-01-10T00:00:00"/>
        <d v="2021-02-05T00:00:00"/>
        <d v="2021-01-03T00:00:00"/>
        <d v="2021-07-14T00:00:00"/>
        <d v="2021-10-03T00:00:00"/>
        <d v="2021-01-28T00:00:00"/>
        <d v="2021-10-24T00:00:00"/>
        <d v="2021-06-24T00:00:00"/>
        <d v="2021-07-28T00:00:00"/>
        <d v="2021-03-08T00:00:00"/>
        <d v="2021-01-05T00:00:00"/>
        <d v="2021-02-08T00:00:00"/>
        <d v="2021-07-03T00:00:00"/>
        <d v="2021-05-10T00:00:00"/>
        <d v="2021-05-27T00:00:00"/>
        <d v="2021-09-04T00:00:00"/>
        <d v="2021-05-01T00:00:00"/>
        <d v="2021-09-16T00:00:00"/>
        <d v="2021-09-26T00:00:00"/>
        <d v="2021-09-25T00:00:00"/>
        <d v="2021-04-09T00:00:00"/>
        <d v="2021-07-11T00:00:00"/>
        <d v="2021-12-16T00:00:00"/>
        <d v="2021-02-09T00:00:00"/>
        <d v="2021-04-08T00:00:00"/>
        <d v="2021-09-09T00:00:00"/>
        <d v="2021-08-15T00:00:00"/>
        <d v="2021-05-16T00:00:00"/>
        <d v="2021-12-21T00:00:00"/>
        <d v="2021-11-30T00:00:00"/>
        <d v="2021-09-05T00:00:00"/>
        <d v="2021-04-12T00:00:00"/>
        <d v="2021-08-01T00:00:00"/>
        <d v="2021-03-15T00:00:00"/>
        <d v="2021-01-16T00:00:00"/>
        <d v="2021-05-29T00:00:00"/>
        <d v="2021-08-14T00:00:00"/>
        <d v="2021-02-06T00:00:00"/>
        <d v="2021-11-19T00:00:00"/>
        <d v="2021-09-28T00:00:00"/>
        <d v="2021-02-12T00:00:00"/>
        <d v="2021-07-15T00:00:00"/>
        <d v="2021-07-09T00:00:00"/>
        <d v="2021-11-04T00:00:00"/>
        <d v="2021-11-20T00:00:00"/>
        <d v="2021-08-19T00:00:00"/>
        <d v="2021-05-02T00:00:00"/>
        <d v="2021-03-14T00:00:00"/>
        <d v="2021-09-07T00:00:00"/>
        <d v="2021-12-04T00:00:00"/>
        <d v="2021-12-02T00:00:00"/>
        <d v="2021-10-06T00:00:00"/>
        <d v="2021-03-13T00:00:00"/>
        <d v="2021-07-18T00:00:00"/>
        <d v="2021-07-17T00:00:00"/>
        <d v="2021-09-01T00:00:00"/>
        <d v="2021-04-22T00:00:00"/>
        <d v="2021-12-01T00:00:00"/>
        <d v="2021-01-15T00:00:00"/>
        <d v="2021-01-14T00:00:00"/>
        <d v="2021-04-13T00:00:00"/>
        <d v="2021-04-18T00:00:00"/>
        <d v="2021-10-10T00:00:00"/>
        <d v="2021-05-21T00:00:00"/>
        <d v="2021-11-29T00:00:00"/>
        <d v="2021-08-09T00:00:00"/>
        <d v="2021-09-22T00:00:00"/>
        <d v="2021-05-23T00:00:00"/>
        <d v="2021-05-18T00:00:00"/>
        <d v="2021-12-28T00:00:00"/>
        <d v="2021-11-05T00:00:00"/>
        <d v="2021-03-28T00:00:00"/>
        <d v="2021-05-22T00:00:00"/>
        <d v="2021-08-04T00:00:00"/>
        <d v="2021-04-26T00:00:00"/>
        <d v="2021-12-22T00:00:00"/>
        <d v="2021-03-11T00:00:00"/>
        <d v="2021-06-15T00:00:00"/>
        <d v="2021-10-01T00:00:00"/>
        <d v="2021-12-14T00:00:00"/>
        <d v="2021-12-13T00:00:00"/>
        <d v="2021-08-08T00:00:00"/>
        <d v="2021-04-27T00:00:00"/>
        <d v="2021-05-07T00:00:00"/>
        <d v="2021-10-30T00:00:00"/>
        <d v="2021-08-28T00:00:00"/>
        <d v="2021-11-22T00:00:00"/>
        <d v="2021-06-27T00:00:00"/>
        <d v="2021-08-05T00:00:00"/>
        <d v="2021-07-12T00:00:00"/>
        <d v="2021-08-20T00:00:00"/>
        <d v="2021-06-05T00:00:00"/>
        <d v="2021-03-09T00:00:00"/>
        <d v="2021-05-15T00:00:00"/>
        <d v="2021-04-07T00:00:00"/>
        <d v="2021-04-11T00:00:00"/>
        <d v="2021-05-14T00:00:00"/>
        <d v="2021-03-23T00:00:00"/>
        <d v="2021-01-02T00:00:00"/>
        <d v="2021-03-17T00:00:00"/>
        <d v="2021-08-21T00:00:00"/>
        <d v="2021-06-16T00:00:00"/>
        <d v="2021-11-14T00:00:00"/>
        <d v="2021-06-25T00:00:00"/>
      </sharedItems>
      <fieldGroup base="0">
        <rangePr groupBy="quarters" startDate="2021-01-01T00:00:00" endDate="2022-01-01T00:00:00"/>
        <groupItems count="6">
          <s v="&lt;1/1/2021"/>
          <s v="Qtr1"/>
          <s v="Qtr2"/>
          <s v="Qtr3"/>
          <s v="Qtr4"/>
          <s v="&gt;1/1/2022"/>
        </groupItems>
      </fieldGroup>
    </cacheField>
    <cacheField name="Region" numFmtId="0">
      <sharedItems count="4">
        <s v="West"/>
        <s v="Midwest"/>
        <s v="Southeast"/>
        <s v="Northeast"/>
      </sharedItems>
    </cacheField>
    <cacheField name="Units" numFmtId="164">
      <sharedItems containsSemiMixedTypes="0" containsString="0" containsNumber="1" containsInteger="1" minValue="801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2">
  <r>
    <x v="0"/>
    <x v="0"/>
    <n v="971"/>
  </r>
  <r>
    <x v="1"/>
    <x v="1"/>
    <n v="1042"/>
  </r>
  <r>
    <x v="2"/>
    <x v="2"/>
    <n v="856"/>
  </r>
  <r>
    <x v="3"/>
    <x v="2"/>
    <n v="1060"/>
  </r>
  <r>
    <x v="4"/>
    <x v="3"/>
    <n v="1123"/>
  </r>
  <r>
    <x v="5"/>
    <x v="3"/>
    <n v="1060"/>
  </r>
  <r>
    <x v="6"/>
    <x v="1"/>
    <n v="1198"/>
  </r>
  <r>
    <x v="7"/>
    <x v="1"/>
    <n v="1137"/>
  </r>
  <r>
    <x v="8"/>
    <x v="1"/>
    <n v="1036"/>
  </r>
  <r>
    <x v="9"/>
    <x v="1"/>
    <n v="1141"/>
  </r>
  <r>
    <x v="10"/>
    <x v="0"/>
    <n v="1126"/>
  </r>
  <r>
    <x v="11"/>
    <x v="1"/>
    <n v="1085"/>
  </r>
  <r>
    <x v="12"/>
    <x v="2"/>
    <n v="1138"/>
  </r>
  <r>
    <x v="13"/>
    <x v="3"/>
    <n v="1114"/>
  </r>
  <r>
    <x v="14"/>
    <x v="1"/>
    <n v="1146"/>
  </r>
  <r>
    <x v="15"/>
    <x v="1"/>
    <n v="983"/>
  </r>
  <r>
    <x v="16"/>
    <x v="0"/>
    <n v="955"/>
  </r>
  <r>
    <x v="17"/>
    <x v="0"/>
    <n v="1151"/>
  </r>
  <r>
    <x v="18"/>
    <x v="3"/>
    <n v="863"/>
  </r>
  <r>
    <x v="19"/>
    <x v="3"/>
    <n v="1107"/>
  </r>
  <r>
    <x v="20"/>
    <x v="0"/>
    <n v="1177"/>
  </r>
  <r>
    <x v="21"/>
    <x v="3"/>
    <n v="1108"/>
  </r>
  <r>
    <x v="22"/>
    <x v="1"/>
    <n v="997"/>
  </r>
  <r>
    <x v="23"/>
    <x v="3"/>
    <n v="868"/>
  </r>
  <r>
    <x v="24"/>
    <x v="1"/>
    <n v="1119"/>
  </r>
  <r>
    <x v="25"/>
    <x v="3"/>
    <n v="1004"/>
  </r>
  <r>
    <x v="26"/>
    <x v="2"/>
    <n v="1187"/>
  </r>
  <r>
    <x v="27"/>
    <x v="1"/>
    <n v="812"/>
  </r>
  <r>
    <x v="28"/>
    <x v="3"/>
    <n v="883"/>
  </r>
  <r>
    <x v="29"/>
    <x v="1"/>
    <n v="1196"/>
  </r>
  <r>
    <x v="30"/>
    <x v="2"/>
    <n v="1132"/>
  </r>
  <r>
    <x v="31"/>
    <x v="1"/>
    <n v="1119"/>
  </r>
  <r>
    <x v="32"/>
    <x v="2"/>
    <n v="1066"/>
  </r>
  <r>
    <x v="33"/>
    <x v="3"/>
    <n v="993"/>
  </r>
  <r>
    <x v="34"/>
    <x v="1"/>
    <n v="1107"/>
  </r>
  <r>
    <x v="35"/>
    <x v="0"/>
    <n v="812"/>
  </r>
  <r>
    <x v="36"/>
    <x v="3"/>
    <n v="1018"/>
  </r>
  <r>
    <x v="37"/>
    <x v="3"/>
    <n v="1021"/>
  </r>
  <r>
    <x v="38"/>
    <x v="0"/>
    <n v="1113"/>
  </r>
  <r>
    <x v="39"/>
    <x v="2"/>
    <n v="866"/>
  </r>
  <r>
    <x v="40"/>
    <x v="2"/>
    <n v="1041"/>
  </r>
  <r>
    <x v="41"/>
    <x v="1"/>
    <n v="1105"/>
  </r>
  <r>
    <x v="42"/>
    <x v="0"/>
    <n v="882"/>
  </r>
  <r>
    <x v="43"/>
    <x v="2"/>
    <n v="1098"/>
  </r>
  <r>
    <x v="44"/>
    <x v="0"/>
    <n v="969"/>
  </r>
  <r>
    <x v="45"/>
    <x v="3"/>
    <n v="828"/>
  </r>
  <r>
    <x v="46"/>
    <x v="2"/>
    <n v="871"/>
  </r>
  <r>
    <x v="47"/>
    <x v="3"/>
    <n v="954"/>
  </r>
  <r>
    <x v="48"/>
    <x v="3"/>
    <n v="996"/>
  </r>
  <r>
    <x v="49"/>
    <x v="2"/>
    <n v="1099"/>
  </r>
  <r>
    <x v="50"/>
    <x v="1"/>
    <n v="1106"/>
  </r>
  <r>
    <x v="51"/>
    <x v="3"/>
    <n v="1121"/>
  </r>
  <r>
    <x v="52"/>
    <x v="2"/>
    <n v="1054"/>
  </r>
  <r>
    <x v="53"/>
    <x v="2"/>
    <n v="1029"/>
  </r>
  <r>
    <x v="54"/>
    <x v="1"/>
    <n v="1124"/>
  </r>
  <r>
    <x v="55"/>
    <x v="1"/>
    <n v="822"/>
  </r>
  <r>
    <x v="56"/>
    <x v="2"/>
    <n v="928"/>
  </r>
  <r>
    <x v="57"/>
    <x v="1"/>
    <n v="1023"/>
  </r>
  <r>
    <x v="10"/>
    <x v="0"/>
    <n v="1029"/>
  </r>
  <r>
    <x v="46"/>
    <x v="1"/>
    <n v="1181"/>
  </r>
  <r>
    <x v="58"/>
    <x v="3"/>
    <n v="1089"/>
  </r>
  <r>
    <x v="59"/>
    <x v="0"/>
    <n v="1190"/>
  </r>
  <r>
    <x v="60"/>
    <x v="0"/>
    <n v="981"/>
  </r>
  <r>
    <x v="61"/>
    <x v="2"/>
    <n v="974"/>
  </r>
  <r>
    <x v="62"/>
    <x v="0"/>
    <n v="1049"/>
  </r>
  <r>
    <x v="63"/>
    <x v="2"/>
    <n v="904"/>
  </r>
  <r>
    <x v="64"/>
    <x v="0"/>
    <n v="946"/>
  </r>
  <r>
    <x v="32"/>
    <x v="3"/>
    <n v="961"/>
  </r>
  <r>
    <x v="65"/>
    <x v="0"/>
    <n v="1166"/>
  </r>
  <r>
    <x v="66"/>
    <x v="3"/>
    <n v="1106"/>
  </r>
  <r>
    <x v="67"/>
    <x v="3"/>
    <n v="1009"/>
  </r>
  <r>
    <x v="68"/>
    <x v="1"/>
    <n v="1007"/>
  </r>
  <r>
    <x v="69"/>
    <x v="1"/>
    <n v="1155"/>
  </r>
  <r>
    <x v="70"/>
    <x v="2"/>
    <n v="863"/>
  </r>
  <r>
    <x v="71"/>
    <x v="1"/>
    <n v="961"/>
  </r>
  <r>
    <x v="72"/>
    <x v="2"/>
    <n v="1121"/>
  </r>
  <r>
    <x v="73"/>
    <x v="1"/>
    <n v="905"/>
  </r>
  <r>
    <x v="52"/>
    <x v="1"/>
    <n v="925"/>
  </r>
  <r>
    <x v="74"/>
    <x v="0"/>
    <n v="1168"/>
  </r>
  <r>
    <x v="75"/>
    <x v="3"/>
    <n v="1141"/>
  </r>
  <r>
    <x v="76"/>
    <x v="3"/>
    <n v="1068"/>
  </r>
  <r>
    <x v="77"/>
    <x v="3"/>
    <n v="842"/>
  </r>
  <r>
    <x v="42"/>
    <x v="1"/>
    <n v="962"/>
  </r>
  <r>
    <x v="78"/>
    <x v="2"/>
    <n v="883"/>
  </r>
  <r>
    <x v="79"/>
    <x v="2"/>
    <n v="1076"/>
  </r>
  <r>
    <x v="79"/>
    <x v="1"/>
    <n v="934"/>
  </r>
  <r>
    <x v="80"/>
    <x v="1"/>
    <n v="1056"/>
  </r>
  <r>
    <x v="81"/>
    <x v="2"/>
    <n v="1110"/>
  </r>
  <r>
    <x v="82"/>
    <x v="0"/>
    <n v="1193"/>
  </r>
  <r>
    <x v="83"/>
    <x v="2"/>
    <n v="1157"/>
  </r>
  <r>
    <x v="84"/>
    <x v="2"/>
    <n v="1048"/>
  </r>
  <r>
    <x v="85"/>
    <x v="0"/>
    <n v="1024"/>
  </r>
  <r>
    <x v="86"/>
    <x v="1"/>
    <n v="1100"/>
  </r>
  <r>
    <x v="87"/>
    <x v="3"/>
    <n v="1096"/>
  </r>
  <r>
    <x v="88"/>
    <x v="2"/>
    <n v="1073"/>
  </r>
  <r>
    <x v="89"/>
    <x v="2"/>
    <n v="1149"/>
  </r>
  <r>
    <x v="90"/>
    <x v="0"/>
    <n v="922"/>
  </r>
  <r>
    <x v="91"/>
    <x v="0"/>
    <n v="868"/>
  </r>
  <r>
    <x v="92"/>
    <x v="3"/>
    <n v="1052"/>
  </r>
  <r>
    <x v="93"/>
    <x v="0"/>
    <n v="852"/>
  </r>
  <r>
    <x v="94"/>
    <x v="2"/>
    <n v="1150"/>
  </r>
  <r>
    <x v="95"/>
    <x v="1"/>
    <n v="1090"/>
  </r>
  <r>
    <x v="96"/>
    <x v="1"/>
    <n v="881"/>
  </r>
  <r>
    <x v="97"/>
    <x v="2"/>
    <n v="851"/>
  </r>
  <r>
    <x v="98"/>
    <x v="2"/>
    <n v="883"/>
  </r>
  <r>
    <x v="99"/>
    <x v="3"/>
    <n v="911"/>
  </r>
  <r>
    <x v="100"/>
    <x v="2"/>
    <n v="1059"/>
  </r>
  <r>
    <x v="101"/>
    <x v="1"/>
    <n v="949"/>
  </r>
  <r>
    <x v="102"/>
    <x v="3"/>
    <n v="946"/>
  </r>
  <r>
    <x v="103"/>
    <x v="2"/>
    <n v="1130"/>
  </r>
  <r>
    <x v="77"/>
    <x v="0"/>
    <n v="888"/>
  </r>
  <r>
    <x v="104"/>
    <x v="0"/>
    <n v="1185"/>
  </r>
  <r>
    <x v="105"/>
    <x v="1"/>
    <n v="854"/>
  </r>
  <r>
    <x v="27"/>
    <x v="0"/>
    <n v="963"/>
  </r>
  <r>
    <x v="106"/>
    <x v="3"/>
    <n v="949"/>
  </r>
  <r>
    <x v="107"/>
    <x v="1"/>
    <n v="832"/>
  </r>
  <r>
    <x v="108"/>
    <x v="1"/>
    <n v="1173"/>
  </r>
  <r>
    <x v="109"/>
    <x v="3"/>
    <n v="1161"/>
  </r>
  <r>
    <x v="107"/>
    <x v="1"/>
    <n v="1054"/>
  </r>
  <r>
    <x v="110"/>
    <x v="3"/>
    <n v="1058"/>
  </r>
  <r>
    <x v="103"/>
    <x v="1"/>
    <n v="949"/>
  </r>
  <r>
    <x v="39"/>
    <x v="1"/>
    <n v="1026"/>
  </r>
  <r>
    <x v="111"/>
    <x v="3"/>
    <n v="967"/>
  </r>
  <r>
    <x v="112"/>
    <x v="2"/>
    <n v="1001"/>
  </r>
  <r>
    <x v="113"/>
    <x v="0"/>
    <n v="1011"/>
  </r>
  <r>
    <x v="114"/>
    <x v="3"/>
    <n v="1170"/>
  </r>
  <r>
    <x v="26"/>
    <x v="1"/>
    <n v="850"/>
  </r>
  <r>
    <x v="15"/>
    <x v="0"/>
    <n v="970"/>
  </r>
  <r>
    <x v="115"/>
    <x v="3"/>
    <n v="1031"/>
  </r>
  <r>
    <x v="48"/>
    <x v="1"/>
    <n v="1136"/>
  </r>
  <r>
    <x v="116"/>
    <x v="3"/>
    <n v="1108"/>
  </r>
  <r>
    <x v="40"/>
    <x v="0"/>
    <n v="1189"/>
  </r>
  <r>
    <x v="117"/>
    <x v="2"/>
    <n v="1038"/>
  </r>
  <r>
    <x v="118"/>
    <x v="3"/>
    <n v="834"/>
  </r>
  <r>
    <x v="8"/>
    <x v="0"/>
    <n v="903"/>
  </r>
  <r>
    <x v="119"/>
    <x v="2"/>
    <n v="822"/>
  </r>
  <r>
    <x v="120"/>
    <x v="3"/>
    <n v="1004"/>
  </r>
  <r>
    <x v="121"/>
    <x v="2"/>
    <n v="1167"/>
  </r>
  <r>
    <x v="122"/>
    <x v="3"/>
    <n v="890"/>
  </r>
  <r>
    <x v="123"/>
    <x v="0"/>
    <n v="960"/>
  </r>
  <r>
    <x v="37"/>
    <x v="1"/>
    <n v="1183"/>
  </r>
  <r>
    <x v="76"/>
    <x v="2"/>
    <n v="1031"/>
  </r>
  <r>
    <x v="124"/>
    <x v="2"/>
    <n v="992"/>
  </r>
  <r>
    <x v="125"/>
    <x v="1"/>
    <n v="933"/>
  </r>
  <r>
    <x v="126"/>
    <x v="3"/>
    <n v="935"/>
  </r>
  <r>
    <x v="127"/>
    <x v="0"/>
    <n v="1155"/>
  </r>
  <r>
    <x v="128"/>
    <x v="3"/>
    <n v="1078"/>
  </r>
  <r>
    <x v="60"/>
    <x v="2"/>
    <n v="962"/>
  </r>
  <r>
    <x v="35"/>
    <x v="1"/>
    <n v="1027"/>
  </r>
  <r>
    <x v="129"/>
    <x v="1"/>
    <n v="1116"/>
  </r>
  <r>
    <x v="130"/>
    <x v="3"/>
    <n v="849"/>
  </r>
  <r>
    <x v="131"/>
    <x v="3"/>
    <n v="1007"/>
  </r>
  <r>
    <x v="132"/>
    <x v="0"/>
    <n v="965"/>
  </r>
  <r>
    <x v="68"/>
    <x v="1"/>
    <n v="928"/>
  </r>
  <r>
    <x v="133"/>
    <x v="1"/>
    <n v="912"/>
  </r>
  <r>
    <x v="134"/>
    <x v="3"/>
    <n v="1006"/>
  </r>
  <r>
    <x v="135"/>
    <x v="1"/>
    <n v="883"/>
  </r>
  <r>
    <x v="90"/>
    <x v="3"/>
    <n v="1134"/>
  </r>
  <r>
    <x v="136"/>
    <x v="1"/>
    <n v="1133"/>
  </r>
  <r>
    <x v="134"/>
    <x v="0"/>
    <n v="965"/>
  </r>
  <r>
    <x v="111"/>
    <x v="1"/>
    <n v="1179"/>
  </r>
  <r>
    <x v="137"/>
    <x v="2"/>
    <n v="995"/>
  </r>
  <r>
    <x v="138"/>
    <x v="1"/>
    <n v="1155"/>
  </r>
  <r>
    <x v="75"/>
    <x v="0"/>
    <n v="971"/>
  </r>
  <r>
    <x v="139"/>
    <x v="3"/>
    <n v="885"/>
  </r>
  <r>
    <x v="17"/>
    <x v="3"/>
    <n v="1100"/>
  </r>
  <r>
    <x v="27"/>
    <x v="3"/>
    <n v="1195"/>
  </r>
  <r>
    <x v="64"/>
    <x v="0"/>
    <n v="955"/>
  </r>
  <r>
    <x v="47"/>
    <x v="3"/>
    <n v="989"/>
  </r>
  <r>
    <x v="140"/>
    <x v="1"/>
    <n v="877"/>
  </r>
  <r>
    <x v="141"/>
    <x v="0"/>
    <n v="1193"/>
  </r>
  <r>
    <x v="128"/>
    <x v="0"/>
    <n v="1188"/>
  </r>
  <r>
    <x v="142"/>
    <x v="0"/>
    <n v="1047"/>
  </r>
  <r>
    <x v="143"/>
    <x v="1"/>
    <n v="869"/>
  </r>
  <r>
    <x v="144"/>
    <x v="0"/>
    <n v="993"/>
  </r>
  <r>
    <x v="145"/>
    <x v="0"/>
    <n v="835"/>
  </r>
  <r>
    <x v="72"/>
    <x v="2"/>
    <n v="924"/>
  </r>
  <r>
    <x v="55"/>
    <x v="0"/>
    <n v="1018"/>
  </r>
  <r>
    <x v="76"/>
    <x v="1"/>
    <n v="1165"/>
  </r>
  <r>
    <x v="146"/>
    <x v="0"/>
    <n v="1093"/>
  </r>
  <r>
    <x v="147"/>
    <x v="2"/>
    <n v="880"/>
  </r>
  <r>
    <x v="148"/>
    <x v="0"/>
    <n v="850"/>
  </r>
  <r>
    <x v="142"/>
    <x v="3"/>
    <n v="875"/>
  </r>
  <r>
    <x v="99"/>
    <x v="1"/>
    <n v="1080"/>
  </r>
  <r>
    <x v="149"/>
    <x v="1"/>
    <n v="1111"/>
  </r>
  <r>
    <x v="150"/>
    <x v="1"/>
    <n v="1015"/>
  </r>
  <r>
    <x v="151"/>
    <x v="0"/>
    <n v="1012"/>
  </r>
  <r>
    <x v="152"/>
    <x v="3"/>
    <n v="1044"/>
  </r>
  <r>
    <x v="153"/>
    <x v="2"/>
    <n v="904"/>
  </r>
  <r>
    <x v="53"/>
    <x v="2"/>
    <n v="1109"/>
  </r>
  <r>
    <x v="154"/>
    <x v="1"/>
    <n v="871"/>
  </r>
  <r>
    <x v="155"/>
    <x v="2"/>
    <n v="866"/>
  </r>
  <r>
    <x v="156"/>
    <x v="3"/>
    <n v="974"/>
  </r>
  <r>
    <x v="132"/>
    <x v="2"/>
    <n v="819"/>
  </r>
  <r>
    <x v="157"/>
    <x v="2"/>
    <n v="984"/>
  </r>
  <r>
    <x v="25"/>
    <x v="2"/>
    <n v="870"/>
  </r>
  <r>
    <x v="127"/>
    <x v="1"/>
    <n v="984"/>
  </r>
  <r>
    <x v="158"/>
    <x v="2"/>
    <n v="1046"/>
  </r>
  <r>
    <x v="159"/>
    <x v="2"/>
    <n v="845"/>
  </r>
  <r>
    <x v="160"/>
    <x v="2"/>
    <n v="1086"/>
  </r>
  <r>
    <x v="161"/>
    <x v="1"/>
    <n v="1177"/>
  </r>
  <r>
    <x v="162"/>
    <x v="1"/>
    <n v="943"/>
  </r>
  <r>
    <x v="163"/>
    <x v="3"/>
    <n v="1103"/>
  </r>
  <r>
    <x v="164"/>
    <x v="0"/>
    <n v="861"/>
  </r>
  <r>
    <x v="165"/>
    <x v="1"/>
    <n v="1095"/>
  </r>
  <r>
    <x v="58"/>
    <x v="0"/>
    <n v="1037"/>
  </r>
  <r>
    <x v="166"/>
    <x v="0"/>
    <n v="916"/>
  </r>
  <r>
    <x v="36"/>
    <x v="0"/>
    <n v="828"/>
  </r>
  <r>
    <x v="35"/>
    <x v="3"/>
    <n v="1157"/>
  </r>
  <r>
    <x v="167"/>
    <x v="3"/>
    <n v="900"/>
  </r>
  <r>
    <x v="91"/>
    <x v="0"/>
    <n v="923"/>
  </r>
  <r>
    <x v="15"/>
    <x v="1"/>
    <n v="1040"/>
  </r>
  <r>
    <x v="39"/>
    <x v="3"/>
    <n v="1169"/>
  </r>
  <r>
    <x v="168"/>
    <x v="2"/>
    <n v="929"/>
  </r>
  <r>
    <x v="115"/>
    <x v="1"/>
    <n v="1060"/>
  </r>
  <r>
    <x v="69"/>
    <x v="2"/>
    <n v="1159"/>
  </r>
  <r>
    <x v="67"/>
    <x v="2"/>
    <n v="878"/>
  </r>
  <r>
    <x v="88"/>
    <x v="2"/>
    <n v="915"/>
  </r>
  <r>
    <x v="158"/>
    <x v="0"/>
    <n v="979"/>
  </r>
  <r>
    <x v="169"/>
    <x v="2"/>
    <n v="807"/>
  </r>
  <r>
    <x v="170"/>
    <x v="3"/>
    <n v="1027"/>
  </r>
  <r>
    <x v="171"/>
    <x v="1"/>
    <n v="821"/>
  </r>
  <r>
    <x v="172"/>
    <x v="3"/>
    <n v="1165"/>
  </r>
  <r>
    <x v="79"/>
    <x v="3"/>
    <n v="1024"/>
  </r>
  <r>
    <x v="114"/>
    <x v="3"/>
    <n v="1047"/>
  </r>
  <r>
    <x v="143"/>
    <x v="3"/>
    <n v="1091"/>
  </r>
  <r>
    <x v="173"/>
    <x v="2"/>
    <n v="912"/>
  </r>
  <r>
    <x v="70"/>
    <x v="2"/>
    <n v="916"/>
  </r>
  <r>
    <x v="174"/>
    <x v="1"/>
    <n v="1075"/>
  </r>
  <r>
    <x v="122"/>
    <x v="1"/>
    <n v="1162"/>
  </r>
  <r>
    <x v="175"/>
    <x v="0"/>
    <n v="1099"/>
  </r>
  <r>
    <x v="176"/>
    <x v="2"/>
    <n v="924"/>
  </r>
  <r>
    <x v="26"/>
    <x v="3"/>
    <n v="1198"/>
  </r>
  <r>
    <x v="146"/>
    <x v="2"/>
    <n v="1111"/>
  </r>
  <r>
    <x v="100"/>
    <x v="0"/>
    <n v="827"/>
  </r>
  <r>
    <x v="158"/>
    <x v="0"/>
    <n v="812"/>
  </r>
  <r>
    <x v="177"/>
    <x v="3"/>
    <n v="1125"/>
  </r>
  <r>
    <x v="24"/>
    <x v="2"/>
    <n v="871"/>
  </r>
  <r>
    <x v="178"/>
    <x v="0"/>
    <n v="974"/>
  </r>
  <r>
    <x v="133"/>
    <x v="0"/>
    <n v="1164"/>
  </r>
  <r>
    <x v="179"/>
    <x v="1"/>
    <n v="961"/>
  </r>
  <r>
    <x v="77"/>
    <x v="0"/>
    <n v="1089"/>
  </r>
  <r>
    <x v="180"/>
    <x v="1"/>
    <n v="893"/>
  </r>
  <r>
    <x v="181"/>
    <x v="0"/>
    <n v="903"/>
  </r>
  <r>
    <x v="109"/>
    <x v="3"/>
    <n v="1192"/>
  </r>
  <r>
    <x v="160"/>
    <x v="1"/>
    <n v="1035"/>
  </r>
  <r>
    <x v="116"/>
    <x v="2"/>
    <n v="857"/>
  </r>
  <r>
    <x v="135"/>
    <x v="2"/>
    <n v="827"/>
  </r>
  <r>
    <x v="182"/>
    <x v="3"/>
    <n v="1145"/>
  </r>
  <r>
    <x v="61"/>
    <x v="1"/>
    <n v="1136"/>
  </r>
  <r>
    <x v="1"/>
    <x v="0"/>
    <n v="937"/>
  </r>
  <r>
    <x v="32"/>
    <x v="3"/>
    <n v="1106"/>
  </r>
  <r>
    <x v="151"/>
    <x v="0"/>
    <n v="914"/>
  </r>
  <r>
    <x v="54"/>
    <x v="2"/>
    <n v="1077"/>
  </r>
  <r>
    <x v="145"/>
    <x v="0"/>
    <n v="1093"/>
  </r>
  <r>
    <x v="183"/>
    <x v="0"/>
    <n v="1021"/>
  </r>
  <r>
    <x v="78"/>
    <x v="0"/>
    <n v="895"/>
  </r>
  <r>
    <x v="184"/>
    <x v="1"/>
    <n v="1039"/>
  </r>
  <r>
    <x v="92"/>
    <x v="0"/>
    <n v="889"/>
  </r>
  <r>
    <x v="72"/>
    <x v="0"/>
    <n v="1032"/>
  </r>
  <r>
    <x v="61"/>
    <x v="2"/>
    <n v="1189"/>
  </r>
  <r>
    <x v="185"/>
    <x v="1"/>
    <n v="861"/>
  </r>
  <r>
    <x v="186"/>
    <x v="0"/>
    <n v="1028"/>
  </r>
  <r>
    <x v="187"/>
    <x v="1"/>
    <n v="1122"/>
  </r>
  <r>
    <x v="119"/>
    <x v="3"/>
    <n v="1112"/>
  </r>
  <r>
    <x v="188"/>
    <x v="3"/>
    <n v="980"/>
  </r>
  <r>
    <x v="189"/>
    <x v="3"/>
    <n v="1191"/>
  </r>
  <r>
    <x v="190"/>
    <x v="0"/>
    <n v="892"/>
  </r>
  <r>
    <x v="187"/>
    <x v="3"/>
    <n v="838"/>
  </r>
  <r>
    <x v="42"/>
    <x v="0"/>
    <n v="974"/>
  </r>
  <r>
    <x v="191"/>
    <x v="0"/>
    <n v="1122"/>
  </r>
  <r>
    <x v="192"/>
    <x v="1"/>
    <n v="1117"/>
  </r>
  <r>
    <x v="156"/>
    <x v="0"/>
    <n v="812"/>
  </r>
  <r>
    <x v="48"/>
    <x v="2"/>
    <n v="964"/>
  </r>
  <r>
    <x v="125"/>
    <x v="0"/>
    <n v="902"/>
  </r>
  <r>
    <x v="193"/>
    <x v="0"/>
    <n v="831"/>
  </r>
  <r>
    <x v="188"/>
    <x v="2"/>
    <n v="955"/>
  </r>
  <r>
    <x v="44"/>
    <x v="1"/>
    <n v="1083"/>
  </r>
  <r>
    <x v="194"/>
    <x v="2"/>
    <n v="1047"/>
  </r>
  <r>
    <x v="195"/>
    <x v="3"/>
    <n v="1056"/>
  </r>
  <r>
    <x v="196"/>
    <x v="0"/>
    <n v="1107"/>
  </r>
  <r>
    <x v="110"/>
    <x v="2"/>
    <n v="1182"/>
  </r>
  <r>
    <x v="197"/>
    <x v="3"/>
    <n v="1199"/>
  </r>
  <r>
    <x v="126"/>
    <x v="0"/>
    <n v="915"/>
  </r>
  <r>
    <x v="198"/>
    <x v="0"/>
    <n v="893"/>
  </r>
  <r>
    <x v="199"/>
    <x v="1"/>
    <n v="1179"/>
  </r>
  <r>
    <x v="200"/>
    <x v="1"/>
    <n v="1158"/>
  </r>
  <r>
    <x v="201"/>
    <x v="1"/>
    <n v="905"/>
  </r>
  <r>
    <x v="137"/>
    <x v="3"/>
    <n v="1147"/>
  </r>
  <r>
    <x v="152"/>
    <x v="2"/>
    <n v="992"/>
  </r>
  <r>
    <x v="19"/>
    <x v="0"/>
    <n v="1173"/>
  </r>
  <r>
    <x v="202"/>
    <x v="2"/>
    <n v="989"/>
  </r>
  <r>
    <x v="22"/>
    <x v="3"/>
    <n v="894"/>
  </r>
  <r>
    <x v="164"/>
    <x v="3"/>
    <n v="1011"/>
  </r>
  <r>
    <x v="203"/>
    <x v="0"/>
    <n v="1050"/>
  </r>
  <r>
    <x v="204"/>
    <x v="3"/>
    <n v="1158"/>
  </r>
  <r>
    <x v="126"/>
    <x v="2"/>
    <n v="809"/>
  </r>
  <r>
    <x v="111"/>
    <x v="3"/>
    <n v="1018"/>
  </r>
  <r>
    <x v="205"/>
    <x v="3"/>
    <n v="824"/>
  </r>
  <r>
    <x v="190"/>
    <x v="1"/>
    <n v="998"/>
  </r>
  <r>
    <x v="206"/>
    <x v="2"/>
    <n v="989"/>
  </r>
  <r>
    <x v="180"/>
    <x v="2"/>
    <n v="1039"/>
  </r>
  <r>
    <x v="114"/>
    <x v="2"/>
    <n v="1077"/>
  </r>
  <r>
    <x v="171"/>
    <x v="3"/>
    <n v="942"/>
  </r>
  <r>
    <x v="106"/>
    <x v="1"/>
    <n v="819"/>
  </r>
  <r>
    <x v="207"/>
    <x v="3"/>
    <n v="1155"/>
  </r>
  <r>
    <x v="208"/>
    <x v="0"/>
    <n v="1141"/>
  </r>
  <r>
    <x v="209"/>
    <x v="3"/>
    <n v="965"/>
  </r>
  <r>
    <x v="210"/>
    <x v="2"/>
    <n v="960"/>
  </r>
  <r>
    <x v="210"/>
    <x v="1"/>
    <n v="978"/>
  </r>
  <r>
    <x v="24"/>
    <x v="1"/>
    <n v="1171"/>
  </r>
  <r>
    <x v="211"/>
    <x v="2"/>
    <n v="985"/>
  </r>
  <r>
    <x v="190"/>
    <x v="3"/>
    <n v="945"/>
  </r>
  <r>
    <x v="212"/>
    <x v="3"/>
    <n v="1106"/>
  </r>
  <r>
    <x v="213"/>
    <x v="1"/>
    <n v="851"/>
  </r>
  <r>
    <x v="109"/>
    <x v="0"/>
    <n v="995"/>
  </r>
  <r>
    <x v="51"/>
    <x v="1"/>
    <n v="1177"/>
  </r>
  <r>
    <x v="49"/>
    <x v="3"/>
    <n v="902"/>
  </r>
  <r>
    <x v="101"/>
    <x v="1"/>
    <n v="932"/>
  </r>
  <r>
    <x v="214"/>
    <x v="0"/>
    <n v="1164"/>
  </r>
  <r>
    <x v="215"/>
    <x v="1"/>
    <n v="1046"/>
  </r>
  <r>
    <x v="216"/>
    <x v="1"/>
    <n v="1045"/>
  </r>
  <r>
    <x v="134"/>
    <x v="1"/>
    <n v="1058"/>
  </r>
  <r>
    <x v="58"/>
    <x v="1"/>
    <n v="1029"/>
  </r>
  <r>
    <x v="67"/>
    <x v="2"/>
    <n v="879"/>
  </r>
  <r>
    <x v="94"/>
    <x v="1"/>
    <n v="1103"/>
  </r>
  <r>
    <x v="217"/>
    <x v="1"/>
    <n v="1189"/>
  </r>
  <r>
    <x v="218"/>
    <x v="1"/>
    <n v="1084"/>
  </r>
  <r>
    <x v="70"/>
    <x v="2"/>
    <n v="1020"/>
  </r>
  <r>
    <x v="219"/>
    <x v="3"/>
    <n v="1044"/>
  </r>
  <r>
    <x v="126"/>
    <x v="0"/>
    <n v="929"/>
  </r>
  <r>
    <x v="189"/>
    <x v="2"/>
    <n v="1110"/>
  </r>
  <r>
    <x v="220"/>
    <x v="2"/>
    <n v="1143"/>
  </r>
  <r>
    <x v="70"/>
    <x v="3"/>
    <n v="1071"/>
  </r>
  <r>
    <x v="115"/>
    <x v="0"/>
    <n v="858"/>
  </r>
  <r>
    <x v="107"/>
    <x v="3"/>
    <n v="1045"/>
  </r>
  <r>
    <x v="79"/>
    <x v="0"/>
    <n v="841"/>
  </r>
  <r>
    <x v="47"/>
    <x v="0"/>
    <n v="1056"/>
  </r>
  <r>
    <x v="221"/>
    <x v="1"/>
    <n v="877"/>
  </r>
  <r>
    <x v="114"/>
    <x v="2"/>
    <n v="1063"/>
  </r>
  <r>
    <x v="151"/>
    <x v="0"/>
    <n v="1193"/>
  </r>
  <r>
    <x v="222"/>
    <x v="0"/>
    <n v="857"/>
  </r>
  <r>
    <x v="223"/>
    <x v="1"/>
    <n v="802"/>
  </r>
  <r>
    <x v="136"/>
    <x v="1"/>
    <n v="919"/>
  </r>
  <r>
    <x v="224"/>
    <x v="3"/>
    <n v="1136"/>
  </r>
  <r>
    <x v="225"/>
    <x v="2"/>
    <n v="818"/>
  </r>
  <r>
    <x v="139"/>
    <x v="0"/>
    <n v="979"/>
  </r>
  <r>
    <x v="226"/>
    <x v="0"/>
    <n v="1151"/>
  </r>
  <r>
    <x v="227"/>
    <x v="1"/>
    <n v="1179"/>
  </r>
  <r>
    <x v="228"/>
    <x v="3"/>
    <n v="938"/>
  </r>
  <r>
    <x v="148"/>
    <x v="2"/>
    <n v="1015"/>
  </r>
  <r>
    <x v="229"/>
    <x v="2"/>
    <n v="1150"/>
  </r>
  <r>
    <x v="230"/>
    <x v="2"/>
    <n v="1189"/>
  </r>
  <r>
    <x v="64"/>
    <x v="0"/>
    <n v="1019"/>
  </r>
  <r>
    <x v="56"/>
    <x v="2"/>
    <n v="1076"/>
  </r>
  <r>
    <x v="231"/>
    <x v="0"/>
    <n v="1107"/>
  </r>
  <r>
    <x v="232"/>
    <x v="1"/>
    <n v="956"/>
  </r>
  <r>
    <x v="17"/>
    <x v="2"/>
    <n v="1149"/>
  </r>
  <r>
    <x v="85"/>
    <x v="3"/>
    <n v="805"/>
  </r>
  <r>
    <x v="233"/>
    <x v="2"/>
    <n v="1193"/>
  </r>
  <r>
    <x v="91"/>
    <x v="1"/>
    <n v="915"/>
  </r>
  <r>
    <x v="47"/>
    <x v="1"/>
    <n v="947"/>
  </r>
  <r>
    <x v="230"/>
    <x v="0"/>
    <n v="1096"/>
  </r>
  <r>
    <x v="130"/>
    <x v="1"/>
    <n v="1061"/>
  </r>
  <r>
    <x v="234"/>
    <x v="1"/>
    <n v="1083"/>
  </r>
  <r>
    <x v="112"/>
    <x v="3"/>
    <n v="1100"/>
  </r>
  <r>
    <x v="235"/>
    <x v="1"/>
    <n v="1025"/>
  </r>
  <r>
    <x v="236"/>
    <x v="0"/>
    <n v="873"/>
  </r>
  <r>
    <x v="68"/>
    <x v="2"/>
    <n v="1008"/>
  </r>
  <r>
    <x v="237"/>
    <x v="3"/>
    <n v="817"/>
  </r>
  <r>
    <x v="220"/>
    <x v="1"/>
    <n v="1173"/>
  </r>
  <r>
    <x v="238"/>
    <x v="1"/>
    <n v="937"/>
  </r>
  <r>
    <x v="239"/>
    <x v="3"/>
    <n v="902"/>
  </r>
  <r>
    <x v="240"/>
    <x v="1"/>
    <n v="1200"/>
  </r>
  <r>
    <x v="186"/>
    <x v="1"/>
    <n v="1002"/>
  </r>
  <r>
    <x v="241"/>
    <x v="3"/>
    <n v="1002"/>
  </r>
  <r>
    <x v="139"/>
    <x v="1"/>
    <n v="834"/>
  </r>
  <r>
    <x v="242"/>
    <x v="3"/>
    <n v="933"/>
  </r>
  <r>
    <x v="169"/>
    <x v="2"/>
    <n v="1056"/>
  </r>
  <r>
    <x v="39"/>
    <x v="0"/>
    <n v="898"/>
  </r>
  <r>
    <x v="243"/>
    <x v="0"/>
    <n v="1072"/>
  </r>
  <r>
    <x v="244"/>
    <x v="1"/>
    <n v="865"/>
  </r>
  <r>
    <x v="10"/>
    <x v="2"/>
    <n v="839"/>
  </r>
  <r>
    <x v="209"/>
    <x v="1"/>
    <n v="866"/>
  </r>
  <r>
    <x v="89"/>
    <x v="2"/>
    <n v="1053"/>
  </r>
  <r>
    <x v="170"/>
    <x v="1"/>
    <n v="1156"/>
  </r>
  <r>
    <x v="160"/>
    <x v="0"/>
    <n v="801"/>
  </r>
  <r>
    <x v="19"/>
    <x v="3"/>
    <n v="1016"/>
  </r>
  <r>
    <x v="245"/>
    <x v="0"/>
    <n v="971"/>
  </r>
  <r>
    <x v="246"/>
    <x v="1"/>
    <n v="1200"/>
  </r>
  <r>
    <x v="45"/>
    <x v="0"/>
    <n v="865"/>
  </r>
  <r>
    <x v="48"/>
    <x v="0"/>
    <n v="802"/>
  </r>
  <r>
    <x v="36"/>
    <x v="2"/>
    <n v="855"/>
  </r>
  <r>
    <x v="247"/>
    <x v="3"/>
    <n v="921"/>
  </r>
  <r>
    <x v="49"/>
    <x v="3"/>
    <n v="890"/>
  </r>
  <r>
    <x v="248"/>
    <x v="1"/>
    <n v="915"/>
  </r>
  <r>
    <x v="26"/>
    <x v="3"/>
    <n v="917"/>
  </r>
  <r>
    <x v="3"/>
    <x v="1"/>
    <n v="886"/>
  </r>
  <r>
    <x v="249"/>
    <x v="1"/>
    <n v="1103"/>
  </r>
  <r>
    <x v="228"/>
    <x v="0"/>
    <n v="1081"/>
  </r>
  <r>
    <x v="250"/>
    <x v="1"/>
    <n v="1152"/>
  </r>
  <r>
    <x v="251"/>
    <x v="1"/>
    <n v="899"/>
  </r>
  <r>
    <x v="252"/>
    <x v="0"/>
    <n v="921"/>
  </r>
  <r>
    <x v="117"/>
    <x v="0"/>
    <n v="847"/>
  </r>
  <r>
    <x v="134"/>
    <x v="0"/>
    <n v="867"/>
  </r>
  <r>
    <x v="47"/>
    <x v="3"/>
    <n v="900"/>
  </r>
  <r>
    <x v="169"/>
    <x v="3"/>
    <n v="867"/>
  </r>
  <r>
    <x v="253"/>
    <x v="1"/>
    <n v="948"/>
  </r>
  <r>
    <x v="169"/>
    <x v="0"/>
    <n v="1131"/>
  </r>
  <r>
    <x v="254"/>
    <x v="1"/>
    <n v="993"/>
  </r>
  <r>
    <x v="134"/>
    <x v="2"/>
    <n v="912"/>
  </r>
  <r>
    <x v="225"/>
    <x v="1"/>
    <n v="1123"/>
  </r>
  <r>
    <x v="255"/>
    <x v="3"/>
    <n v="1102"/>
  </r>
  <r>
    <x v="117"/>
    <x v="0"/>
    <n v="917"/>
  </r>
  <r>
    <x v="109"/>
    <x v="0"/>
    <n v="1187"/>
  </r>
  <r>
    <x v="31"/>
    <x v="0"/>
    <n v="1021"/>
  </r>
  <r>
    <x v="256"/>
    <x v="0"/>
    <n v="938"/>
  </r>
  <r>
    <x v="13"/>
    <x v="3"/>
    <n v="1127"/>
  </r>
  <r>
    <x v="257"/>
    <x v="1"/>
    <n v="1018"/>
  </r>
  <r>
    <x v="11"/>
    <x v="0"/>
    <n v="1179"/>
  </r>
  <r>
    <x v="207"/>
    <x v="2"/>
    <n v="978"/>
  </r>
  <r>
    <x v="258"/>
    <x v="0"/>
    <n v="1016"/>
  </r>
  <r>
    <x v="193"/>
    <x v="0"/>
    <n v="940"/>
  </r>
  <r>
    <x v="206"/>
    <x v="0"/>
    <n v="967"/>
  </r>
  <r>
    <x v="259"/>
    <x v="3"/>
    <n v="1107"/>
  </r>
  <r>
    <x v="102"/>
    <x v="3"/>
    <n v="901"/>
  </r>
  <r>
    <x v="155"/>
    <x v="3"/>
    <n v="962"/>
  </r>
  <r>
    <x v="260"/>
    <x v="0"/>
    <n v="1176"/>
  </r>
  <r>
    <x v="1"/>
    <x v="0"/>
    <n v="915"/>
  </r>
  <r>
    <x v="261"/>
    <x v="3"/>
    <n v="803"/>
  </r>
  <r>
    <x v="262"/>
    <x v="3"/>
    <n v="996"/>
  </r>
  <r>
    <x v="184"/>
    <x v="3"/>
    <n v="924"/>
  </r>
  <r>
    <x v="217"/>
    <x v="0"/>
    <n v="1181"/>
  </r>
  <r>
    <x v="198"/>
    <x v="3"/>
    <n v="1180"/>
  </r>
  <r>
    <x v="49"/>
    <x v="1"/>
    <n v="854"/>
  </r>
  <r>
    <x v="37"/>
    <x v="0"/>
    <n v="1035"/>
  </r>
  <r>
    <x v="15"/>
    <x v="1"/>
    <n v="1070"/>
  </r>
  <r>
    <x v="263"/>
    <x v="0"/>
    <n v="968"/>
  </r>
  <r>
    <x v="54"/>
    <x v="1"/>
    <n v="861"/>
  </r>
  <r>
    <x v="189"/>
    <x v="3"/>
    <n v="933"/>
  </r>
  <r>
    <x v="239"/>
    <x v="3"/>
    <n v="1194"/>
  </r>
  <r>
    <x v="173"/>
    <x v="3"/>
    <n v="825"/>
  </r>
  <r>
    <x v="32"/>
    <x v="1"/>
    <n v="1084"/>
  </r>
  <r>
    <x v="195"/>
    <x v="1"/>
    <n v="1029"/>
  </r>
  <r>
    <x v="106"/>
    <x v="2"/>
    <n v="1105"/>
  </r>
  <r>
    <x v="183"/>
    <x v="0"/>
    <n v="1123"/>
  </r>
  <r>
    <x v="243"/>
    <x v="1"/>
    <n v="927"/>
  </r>
  <r>
    <x v="243"/>
    <x v="3"/>
    <n v="927"/>
  </r>
  <r>
    <x v="166"/>
    <x v="0"/>
    <n v="1043"/>
  </r>
  <r>
    <x v="264"/>
    <x v="3"/>
    <n v="866"/>
  </r>
  <r>
    <x v="28"/>
    <x v="2"/>
    <n v="850"/>
  </r>
  <r>
    <x v="265"/>
    <x v="2"/>
    <n v="849"/>
  </r>
  <r>
    <x v="266"/>
    <x v="0"/>
    <n v="1033"/>
  </r>
  <r>
    <x v="267"/>
    <x v="3"/>
    <n v="1105"/>
  </r>
  <r>
    <x v="238"/>
    <x v="3"/>
    <n v="1074"/>
  </r>
  <r>
    <x v="140"/>
    <x v="0"/>
    <n v="1125"/>
  </r>
  <r>
    <x v="228"/>
    <x v="2"/>
    <n v="910"/>
  </r>
  <r>
    <x v="248"/>
    <x v="2"/>
    <n v="868"/>
  </r>
  <r>
    <x v="106"/>
    <x v="0"/>
    <n v="955"/>
  </r>
  <r>
    <x v="90"/>
    <x v="2"/>
    <n v="813"/>
  </r>
  <r>
    <x v="86"/>
    <x v="1"/>
    <n v="1070"/>
  </r>
  <r>
    <x v="253"/>
    <x v="3"/>
    <n v="997"/>
  </r>
  <r>
    <x v="81"/>
    <x v="0"/>
    <n v="1149"/>
  </r>
  <r>
    <x v="259"/>
    <x v="2"/>
    <n v="990"/>
  </r>
  <r>
    <x v="18"/>
    <x v="2"/>
    <n v="926"/>
  </r>
  <r>
    <x v="80"/>
    <x v="2"/>
    <n v="837"/>
  </r>
  <r>
    <x v="92"/>
    <x v="0"/>
    <n v="1198"/>
  </r>
  <r>
    <x v="268"/>
    <x v="2"/>
    <n v="1187"/>
  </r>
  <r>
    <x v="269"/>
    <x v="0"/>
    <n v="964"/>
  </r>
  <r>
    <x v="91"/>
    <x v="0"/>
    <n v="1181"/>
  </r>
  <r>
    <x v="185"/>
    <x v="2"/>
    <n v="1074"/>
  </r>
  <r>
    <x v="232"/>
    <x v="1"/>
    <n v="1196"/>
  </r>
  <r>
    <x v="62"/>
    <x v="3"/>
    <n v="804"/>
  </r>
  <r>
    <x v="130"/>
    <x v="1"/>
    <n v="999"/>
  </r>
  <r>
    <x v="270"/>
    <x v="1"/>
    <n v="940"/>
  </r>
  <r>
    <x v="73"/>
    <x v="3"/>
    <n v="976"/>
  </r>
  <r>
    <x v="120"/>
    <x v="2"/>
    <n v="995"/>
  </r>
  <r>
    <x v="60"/>
    <x v="0"/>
    <n v="976"/>
  </r>
  <r>
    <x v="149"/>
    <x v="0"/>
    <n v="1047"/>
  </r>
  <r>
    <x v="271"/>
    <x v="0"/>
    <n v="976"/>
  </r>
  <r>
    <x v="86"/>
    <x v="0"/>
    <n v="941"/>
  </r>
  <r>
    <x v="71"/>
    <x v="2"/>
    <n v="1187"/>
  </r>
  <r>
    <x v="114"/>
    <x v="1"/>
    <n v="1113"/>
  </r>
  <r>
    <x v="131"/>
    <x v="3"/>
    <n v="1117"/>
  </r>
  <r>
    <x v="81"/>
    <x v="0"/>
    <n v="966"/>
  </r>
  <r>
    <x v="272"/>
    <x v="2"/>
    <n v="852"/>
  </r>
  <r>
    <x v="31"/>
    <x v="1"/>
    <n v="861"/>
  </r>
  <r>
    <x v="273"/>
    <x v="3"/>
    <n v="1189"/>
  </r>
  <r>
    <x v="223"/>
    <x v="0"/>
    <n v="1004"/>
  </r>
  <r>
    <x v="274"/>
    <x v="3"/>
    <n v="932"/>
  </r>
  <r>
    <x v="255"/>
    <x v="0"/>
    <n v="963"/>
  </r>
  <r>
    <x v="108"/>
    <x v="1"/>
    <n v="990"/>
  </r>
  <r>
    <x v="157"/>
    <x v="1"/>
    <n v="850"/>
  </r>
  <r>
    <x v="182"/>
    <x v="1"/>
    <n v="900"/>
  </r>
  <r>
    <x v="94"/>
    <x v="2"/>
    <n v="1135"/>
  </r>
  <r>
    <x v="80"/>
    <x v="3"/>
    <n v="971"/>
  </r>
  <r>
    <x v="88"/>
    <x v="3"/>
    <n v="909"/>
  </r>
  <r>
    <x v="113"/>
    <x v="0"/>
    <n v="976"/>
  </r>
  <r>
    <x v="275"/>
    <x v="3"/>
    <n v="827"/>
  </r>
  <r>
    <x v="203"/>
    <x v="0"/>
    <n v="846"/>
  </r>
  <r>
    <x v="264"/>
    <x v="3"/>
    <n v="1063"/>
  </r>
  <r>
    <x v="251"/>
    <x v="1"/>
    <n v="938"/>
  </r>
  <r>
    <x v="149"/>
    <x v="0"/>
    <n v="1198"/>
  </r>
  <r>
    <x v="44"/>
    <x v="2"/>
    <n v="1132"/>
  </r>
  <r>
    <x v="209"/>
    <x v="3"/>
    <n v="1174"/>
  </r>
  <r>
    <x v="276"/>
    <x v="0"/>
    <n v="1134"/>
  </r>
  <r>
    <x v="277"/>
    <x v="2"/>
    <n v="994"/>
  </r>
  <r>
    <x v="157"/>
    <x v="0"/>
    <n v="818"/>
  </r>
  <r>
    <x v="278"/>
    <x v="2"/>
    <n v="1155"/>
  </r>
  <r>
    <x v="42"/>
    <x v="0"/>
    <n v="1012"/>
  </r>
  <r>
    <x v="225"/>
    <x v="0"/>
    <n v="808"/>
  </r>
  <r>
    <x v="238"/>
    <x v="1"/>
    <n v="1140"/>
  </r>
  <r>
    <x v="279"/>
    <x v="0"/>
    <n v="1106"/>
  </r>
  <r>
    <x v="121"/>
    <x v="3"/>
    <n v="849"/>
  </r>
  <r>
    <x v="178"/>
    <x v="0"/>
    <n v="1186"/>
  </r>
  <r>
    <x v="280"/>
    <x v="2"/>
    <n v="940"/>
  </r>
  <r>
    <x v="193"/>
    <x v="1"/>
    <n v="1012"/>
  </r>
  <r>
    <x v="281"/>
    <x v="0"/>
    <n v="844"/>
  </r>
  <r>
    <x v="221"/>
    <x v="2"/>
    <n v="1099"/>
  </r>
  <r>
    <x v="133"/>
    <x v="0"/>
    <n v="1080"/>
  </r>
  <r>
    <x v="177"/>
    <x v="0"/>
    <n v="885"/>
  </r>
  <r>
    <x v="58"/>
    <x v="3"/>
    <n v="930"/>
  </r>
  <r>
    <x v="190"/>
    <x v="2"/>
    <n v="1122"/>
  </r>
  <r>
    <x v="134"/>
    <x v="0"/>
    <n v="1083"/>
  </r>
  <r>
    <x v="272"/>
    <x v="2"/>
    <n v="1116"/>
  </r>
  <r>
    <x v="189"/>
    <x v="2"/>
    <n v="882"/>
  </r>
  <r>
    <x v="183"/>
    <x v="1"/>
    <n v="1153"/>
  </r>
  <r>
    <x v="251"/>
    <x v="0"/>
    <n v="1110"/>
  </r>
  <r>
    <x v="100"/>
    <x v="3"/>
    <n v="1070"/>
  </r>
  <r>
    <x v="258"/>
    <x v="1"/>
    <n v="1062"/>
  </r>
  <r>
    <x v="282"/>
    <x v="0"/>
    <n v="1036"/>
  </r>
  <r>
    <x v="226"/>
    <x v="0"/>
    <n v="960"/>
  </r>
  <r>
    <x v="283"/>
    <x v="2"/>
    <n v="1039"/>
  </r>
  <r>
    <x v="201"/>
    <x v="2"/>
    <n v="1133"/>
  </r>
  <r>
    <x v="284"/>
    <x v="3"/>
    <n v="985"/>
  </r>
  <r>
    <x v="186"/>
    <x v="1"/>
    <n v="1092"/>
  </r>
  <r>
    <x v="249"/>
    <x v="3"/>
    <n v="1163"/>
  </r>
  <r>
    <x v="55"/>
    <x v="3"/>
    <n v="1068"/>
  </r>
  <r>
    <x v="285"/>
    <x v="1"/>
    <n v="1091"/>
  </r>
  <r>
    <x v="286"/>
    <x v="2"/>
    <n v="1056"/>
  </r>
  <r>
    <x v="1"/>
    <x v="3"/>
    <n v="902"/>
  </r>
  <r>
    <x v="231"/>
    <x v="3"/>
    <n v="1005"/>
  </r>
  <r>
    <x v="287"/>
    <x v="2"/>
    <n v="948"/>
  </r>
  <r>
    <x v="256"/>
    <x v="3"/>
    <n v="1154"/>
  </r>
  <r>
    <x v="251"/>
    <x v="0"/>
    <n v="1145"/>
  </r>
  <r>
    <x v="12"/>
    <x v="2"/>
    <n v="1171"/>
  </r>
  <r>
    <x v="288"/>
    <x v="2"/>
    <n v="891"/>
  </r>
  <r>
    <x v="230"/>
    <x v="0"/>
    <n v="1136"/>
  </r>
  <r>
    <x v="28"/>
    <x v="1"/>
    <n v="890"/>
  </r>
  <r>
    <x v="275"/>
    <x v="2"/>
    <n v="936"/>
  </r>
  <r>
    <x v="289"/>
    <x v="1"/>
    <n v="1087"/>
  </r>
  <r>
    <x v="290"/>
    <x v="0"/>
    <n v="1046"/>
  </r>
  <r>
    <x v="154"/>
    <x v="0"/>
    <n v="823"/>
  </r>
  <r>
    <x v="88"/>
    <x v="2"/>
    <n v="1142"/>
  </r>
  <r>
    <x v="199"/>
    <x v="1"/>
    <n v="1160"/>
  </r>
  <r>
    <x v="242"/>
    <x v="1"/>
    <n v="1066"/>
  </r>
  <r>
    <x v="291"/>
    <x v="2"/>
    <n v="813"/>
  </r>
  <r>
    <x v="167"/>
    <x v="3"/>
    <n v="1132"/>
  </r>
  <r>
    <x v="243"/>
    <x v="2"/>
    <n v="1166"/>
  </r>
  <r>
    <x v="155"/>
    <x v="0"/>
    <n v="1035"/>
  </r>
  <r>
    <x v="292"/>
    <x v="1"/>
    <n v="1159"/>
  </r>
  <r>
    <x v="186"/>
    <x v="2"/>
    <n v="821"/>
  </r>
  <r>
    <x v="293"/>
    <x v="3"/>
    <n v="1125"/>
  </r>
  <r>
    <x v="88"/>
    <x v="2"/>
    <n v="1007"/>
  </r>
  <r>
    <x v="82"/>
    <x v="1"/>
    <n v="858"/>
  </r>
  <r>
    <x v="264"/>
    <x v="3"/>
    <n v="1160"/>
  </r>
  <r>
    <x v="219"/>
    <x v="3"/>
    <n v="948"/>
  </r>
  <r>
    <x v="288"/>
    <x v="3"/>
    <n v="862"/>
  </r>
  <r>
    <x v="60"/>
    <x v="0"/>
    <n v="1068"/>
  </r>
  <r>
    <x v="30"/>
    <x v="1"/>
    <n v="837"/>
  </r>
  <r>
    <x v="294"/>
    <x v="3"/>
    <n v="925"/>
  </r>
  <r>
    <x v="109"/>
    <x v="3"/>
    <n v="1056"/>
  </r>
  <r>
    <x v="249"/>
    <x v="2"/>
    <n v="1108"/>
  </r>
  <r>
    <x v="3"/>
    <x v="0"/>
    <n v="1170"/>
  </r>
  <r>
    <x v="2"/>
    <x v="0"/>
    <n v="884"/>
  </r>
  <r>
    <x v="295"/>
    <x v="3"/>
    <n v="1169"/>
  </r>
  <r>
    <x v="296"/>
    <x v="1"/>
    <n v="819"/>
  </r>
  <r>
    <x v="44"/>
    <x v="1"/>
    <n v="1186"/>
  </r>
  <r>
    <x v="117"/>
    <x v="1"/>
    <n v="908"/>
  </r>
  <r>
    <x v="34"/>
    <x v="0"/>
    <n v="975"/>
  </r>
  <r>
    <x v="43"/>
    <x v="2"/>
    <n v="1004"/>
  </r>
  <r>
    <x v="67"/>
    <x v="2"/>
    <n v="962"/>
  </r>
  <r>
    <x v="267"/>
    <x v="1"/>
    <n v="964"/>
  </r>
  <r>
    <x v="280"/>
    <x v="2"/>
    <n v="823"/>
  </r>
  <r>
    <x v="174"/>
    <x v="1"/>
    <n v="1148"/>
  </r>
  <r>
    <x v="31"/>
    <x v="1"/>
    <n v="1020"/>
  </r>
  <r>
    <x v="111"/>
    <x v="3"/>
    <n v="931"/>
  </r>
  <r>
    <x v="222"/>
    <x v="1"/>
    <n v="1022"/>
  </r>
  <r>
    <x v="297"/>
    <x v="3"/>
    <n v="1067"/>
  </r>
  <r>
    <x v="37"/>
    <x v="0"/>
    <n v="1125"/>
  </r>
  <r>
    <x v="42"/>
    <x v="0"/>
    <n v="942"/>
  </r>
  <r>
    <x v="45"/>
    <x v="1"/>
    <n v="1158"/>
  </r>
  <r>
    <x v="135"/>
    <x v="2"/>
    <n v="811"/>
  </r>
  <r>
    <x v="205"/>
    <x v="1"/>
    <n v="1107"/>
  </r>
  <r>
    <x v="38"/>
    <x v="1"/>
    <n v="1187"/>
  </r>
  <r>
    <x v="225"/>
    <x v="2"/>
    <n v="806"/>
  </r>
  <r>
    <x v="38"/>
    <x v="3"/>
    <n v="1151"/>
  </r>
  <r>
    <x v="125"/>
    <x v="3"/>
    <n v="859"/>
  </r>
  <r>
    <x v="40"/>
    <x v="0"/>
    <n v="1070"/>
  </r>
  <r>
    <x v="251"/>
    <x v="3"/>
    <n v="811"/>
  </r>
  <r>
    <x v="67"/>
    <x v="0"/>
    <n v="1024"/>
  </r>
  <r>
    <x v="266"/>
    <x v="3"/>
    <n v="1173"/>
  </r>
  <r>
    <x v="60"/>
    <x v="1"/>
    <n v="1173"/>
  </r>
  <r>
    <x v="152"/>
    <x v="1"/>
    <n v="1009"/>
  </r>
  <r>
    <x v="298"/>
    <x v="0"/>
    <n v="948"/>
  </r>
  <r>
    <x v="234"/>
    <x v="1"/>
    <n v="925"/>
  </r>
  <r>
    <x v="67"/>
    <x v="0"/>
    <n v="1002"/>
  </r>
  <r>
    <x v="299"/>
    <x v="3"/>
    <n v="885"/>
  </r>
  <r>
    <x v="15"/>
    <x v="3"/>
    <n v="1073"/>
  </r>
  <r>
    <x v="147"/>
    <x v="3"/>
    <n v="950"/>
  </r>
  <r>
    <x v="153"/>
    <x v="0"/>
    <n v="1050"/>
  </r>
  <r>
    <x v="91"/>
    <x v="1"/>
    <n v="1163"/>
  </r>
  <r>
    <x v="216"/>
    <x v="3"/>
    <n v="1070"/>
  </r>
  <r>
    <x v="215"/>
    <x v="3"/>
    <n v="1061"/>
  </r>
  <r>
    <x v="163"/>
    <x v="0"/>
    <n v="1044"/>
  </r>
  <r>
    <x v="291"/>
    <x v="1"/>
    <n v="1108"/>
  </r>
  <r>
    <x v="293"/>
    <x v="2"/>
    <n v="940"/>
  </r>
  <r>
    <x v="300"/>
    <x v="2"/>
    <n v="1057"/>
  </r>
  <r>
    <x v="209"/>
    <x v="0"/>
    <n v="1146"/>
  </r>
  <r>
    <x v="233"/>
    <x v="3"/>
    <n v="966"/>
  </r>
  <r>
    <x v="253"/>
    <x v="1"/>
    <n v="1036"/>
  </r>
  <r>
    <x v="35"/>
    <x v="2"/>
    <n v="988"/>
  </r>
  <r>
    <x v="251"/>
    <x v="1"/>
    <n v="810"/>
  </r>
  <r>
    <x v="235"/>
    <x v="1"/>
    <n v="997"/>
  </r>
  <r>
    <x v="276"/>
    <x v="0"/>
    <n v="1042"/>
  </r>
  <r>
    <x v="69"/>
    <x v="3"/>
    <n v="1138"/>
  </r>
  <r>
    <x v="31"/>
    <x v="2"/>
    <n v="1114"/>
  </r>
  <r>
    <x v="45"/>
    <x v="1"/>
    <n v="1108"/>
  </r>
  <r>
    <x v="301"/>
    <x v="2"/>
    <n v="857"/>
  </r>
  <r>
    <x v="132"/>
    <x v="1"/>
    <n v="815"/>
  </r>
  <r>
    <x v="55"/>
    <x v="0"/>
    <n v="1053"/>
  </r>
  <r>
    <x v="35"/>
    <x v="3"/>
    <n v="903"/>
  </r>
  <r>
    <x v="44"/>
    <x v="3"/>
    <n v="830"/>
  </r>
  <r>
    <x v="140"/>
    <x v="2"/>
    <n v="817"/>
  </r>
  <r>
    <x v="302"/>
    <x v="0"/>
    <n v="802"/>
  </r>
  <r>
    <x v="269"/>
    <x v="0"/>
    <n v="1086"/>
  </r>
  <r>
    <x v="152"/>
    <x v="1"/>
    <n v="899"/>
  </r>
  <r>
    <x v="303"/>
    <x v="1"/>
    <n v="855"/>
  </r>
  <r>
    <x v="235"/>
    <x v="1"/>
    <n v="885"/>
  </r>
  <r>
    <x v="304"/>
    <x v="0"/>
    <n v="911"/>
  </r>
  <r>
    <x v="284"/>
    <x v="3"/>
    <n v="1104"/>
  </r>
  <r>
    <x v="135"/>
    <x v="0"/>
    <n v="1117"/>
  </r>
  <r>
    <x v="276"/>
    <x v="2"/>
    <n v="997"/>
  </r>
  <r>
    <x v="87"/>
    <x v="2"/>
    <n v="950"/>
  </r>
  <r>
    <x v="82"/>
    <x v="0"/>
    <n v="970"/>
  </r>
  <r>
    <x v="147"/>
    <x v="0"/>
    <n v="1018"/>
  </r>
  <r>
    <x v="93"/>
    <x v="3"/>
    <n v="933"/>
  </r>
  <r>
    <x v="75"/>
    <x v="0"/>
    <n v="1116"/>
  </r>
  <r>
    <x v="4"/>
    <x v="3"/>
    <n v="945"/>
  </r>
  <r>
    <x v="80"/>
    <x v="3"/>
    <n v="1130"/>
  </r>
  <r>
    <x v="94"/>
    <x v="0"/>
    <n v="802"/>
  </r>
  <r>
    <x v="268"/>
    <x v="3"/>
    <n v="1038"/>
  </r>
  <r>
    <x v="241"/>
    <x v="3"/>
    <n v="1094"/>
  </r>
  <r>
    <x v="25"/>
    <x v="0"/>
    <n v="1156"/>
  </r>
  <r>
    <x v="202"/>
    <x v="1"/>
    <n v="1155"/>
  </r>
  <r>
    <x v="67"/>
    <x v="3"/>
    <n v="905"/>
  </r>
  <r>
    <x v="305"/>
    <x v="0"/>
    <n v="1091"/>
  </r>
  <r>
    <x v="81"/>
    <x v="3"/>
    <n v="959"/>
  </r>
  <r>
    <x v="306"/>
    <x v="0"/>
    <n v="806"/>
  </r>
  <r>
    <x v="104"/>
    <x v="0"/>
    <n v="945"/>
  </r>
  <r>
    <x v="165"/>
    <x v="3"/>
    <n v="865"/>
  </r>
  <r>
    <x v="117"/>
    <x v="1"/>
    <n v="904"/>
  </r>
  <r>
    <x v="172"/>
    <x v="2"/>
    <n v="906"/>
  </r>
  <r>
    <x v="307"/>
    <x v="3"/>
    <n v="1200"/>
  </r>
  <r>
    <x v="229"/>
    <x v="0"/>
    <n v="1098"/>
  </r>
  <r>
    <x v="2"/>
    <x v="0"/>
    <n v="1044"/>
  </r>
  <r>
    <x v="189"/>
    <x v="0"/>
    <n v="983"/>
  </r>
  <r>
    <x v="308"/>
    <x v="2"/>
    <n v="879"/>
  </r>
  <r>
    <x v="301"/>
    <x v="1"/>
    <n v="810"/>
  </r>
  <r>
    <x v="179"/>
    <x v="1"/>
    <n v="863"/>
  </r>
  <r>
    <x v="30"/>
    <x v="1"/>
    <n v="1180"/>
  </r>
  <r>
    <x v="140"/>
    <x v="2"/>
    <n v="1185"/>
  </r>
  <r>
    <x v="147"/>
    <x v="0"/>
    <n v="860"/>
  </r>
  <r>
    <x v="309"/>
    <x v="0"/>
    <n v="911"/>
  </r>
  <r>
    <x v="298"/>
    <x v="3"/>
    <n v="815"/>
  </r>
  <r>
    <x v="210"/>
    <x v="3"/>
    <n v="1118"/>
  </r>
  <r>
    <x v="178"/>
    <x v="3"/>
    <n v="939"/>
  </r>
  <r>
    <x v="310"/>
    <x v="0"/>
    <n v="1172"/>
  </r>
  <r>
    <x v="96"/>
    <x v="2"/>
    <n v="823"/>
  </r>
  <r>
    <x v="32"/>
    <x v="1"/>
    <n v="827"/>
  </r>
  <r>
    <x v="311"/>
    <x v="2"/>
    <n v="914"/>
  </r>
  <r>
    <x v="147"/>
    <x v="0"/>
    <n v="884"/>
  </r>
  <r>
    <x v="312"/>
    <x v="1"/>
    <n v="1013"/>
  </r>
  <r>
    <x v="76"/>
    <x v="0"/>
    <n v="1040"/>
  </r>
  <r>
    <x v="65"/>
    <x v="2"/>
    <n v="1053"/>
  </r>
  <r>
    <x v="163"/>
    <x v="1"/>
    <n v="942"/>
  </r>
  <r>
    <x v="313"/>
    <x v="3"/>
    <n v="823"/>
  </r>
  <r>
    <x v="285"/>
    <x v="0"/>
    <n v="1075"/>
  </r>
  <r>
    <x v="101"/>
    <x v="0"/>
    <n v="848"/>
  </r>
  <r>
    <x v="115"/>
    <x v="0"/>
    <n v="1081"/>
  </r>
  <r>
    <x v="4"/>
    <x v="0"/>
    <n v="1016"/>
  </r>
  <r>
    <x v="78"/>
    <x v="0"/>
    <n v="1176"/>
  </r>
  <r>
    <x v="148"/>
    <x v="1"/>
    <n v="1024"/>
  </r>
  <r>
    <x v="151"/>
    <x v="3"/>
    <n v="1063"/>
  </r>
  <r>
    <x v="138"/>
    <x v="0"/>
    <n v="1095"/>
  </r>
  <r>
    <x v="286"/>
    <x v="1"/>
    <n v="1114"/>
  </r>
  <r>
    <x v="97"/>
    <x v="1"/>
    <n v="1092"/>
  </r>
  <r>
    <x v="166"/>
    <x v="2"/>
    <n v="991"/>
  </r>
  <r>
    <x v="271"/>
    <x v="1"/>
    <n v="827"/>
  </r>
  <r>
    <x v="74"/>
    <x v="1"/>
    <n v="962"/>
  </r>
  <r>
    <x v="27"/>
    <x v="1"/>
    <n v="991"/>
  </r>
  <r>
    <x v="89"/>
    <x v="3"/>
    <n v="967"/>
  </r>
  <r>
    <x v="204"/>
    <x v="1"/>
    <n v="803"/>
  </r>
  <r>
    <x v="116"/>
    <x v="2"/>
    <n v="1070"/>
  </r>
  <r>
    <x v="212"/>
    <x v="2"/>
    <n v="941"/>
  </r>
  <r>
    <x v="133"/>
    <x v="0"/>
    <n v="1053"/>
  </r>
  <r>
    <x v="224"/>
    <x v="2"/>
    <n v="1015"/>
  </r>
  <r>
    <x v="113"/>
    <x v="2"/>
    <n v="1044"/>
  </r>
  <r>
    <x v="246"/>
    <x v="0"/>
    <n v="1076"/>
  </r>
  <r>
    <x v="314"/>
    <x v="0"/>
    <n v="1034"/>
  </r>
  <r>
    <x v="90"/>
    <x v="2"/>
    <n v="990"/>
  </r>
  <r>
    <x v="199"/>
    <x v="2"/>
    <n v="803"/>
  </r>
  <r>
    <x v="169"/>
    <x v="1"/>
    <n v="965"/>
  </r>
  <r>
    <x v="270"/>
    <x v="2"/>
    <n v="891"/>
  </r>
  <r>
    <x v="295"/>
    <x v="3"/>
    <n v="874"/>
  </r>
  <r>
    <x v="144"/>
    <x v="2"/>
    <n v="1191"/>
  </r>
  <r>
    <x v="199"/>
    <x v="0"/>
    <n v="1123"/>
  </r>
  <r>
    <x v="183"/>
    <x v="1"/>
    <n v="822"/>
  </r>
  <r>
    <x v="315"/>
    <x v="3"/>
    <n v="1046"/>
  </r>
  <r>
    <x v="149"/>
    <x v="1"/>
    <n v="917"/>
  </r>
  <r>
    <x v="235"/>
    <x v="1"/>
    <n v="962"/>
  </r>
  <r>
    <x v="278"/>
    <x v="0"/>
    <n v="1158"/>
  </r>
  <r>
    <x v="316"/>
    <x v="3"/>
    <n v="986"/>
  </r>
  <r>
    <x v="205"/>
    <x v="0"/>
    <n v="1093"/>
  </r>
  <r>
    <x v="118"/>
    <x v="2"/>
    <n v="841"/>
  </r>
  <r>
    <x v="317"/>
    <x v="2"/>
    <n v="994"/>
  </r>
  <r>
    <x v="274"/>
    <x v="0"/>
    <n v="1055"/>
  </r>
  <r>
    <x v="102"/>
    <x v="2"/>
    <n v="962"/>
  </r>
  <r>
    <x v="297"/>
    <x v="2"/>
    <n v="888"/>
  </r>
  <r>
    <x v="312"/>
    <x v="2"/>
    <n v="1128"/>
  </r>
  <r>
    <x v="318"/>
    <x v="1"/>
    <n v="846"/>
  </r>
  <r>
    <x v="241"/>
    <x v="3"/>
    <n v="832"/>
  </r>
  <r>
    <x v="313"/>
    <x v="1"/>
    <n v="1116"/>
  </r>
  <r>
    <x v="72"/>
    <x v="3"/>
    <n v="920"/>
  </r>
  <r>
    <x v="282"/>
    <x v="3"/>
    <n v="1082"/>
  </r>
  <r>
    <x v="310"/>
    <x v="0"/>
    <n v="844"/>
  </r>
  <r>
    <x v="79"/>
    <x v="0"/>
    <n v="988"/>
  </r>
  <r>
    <x v="131"/>
    <x v="3"/>
    <n v="1041"/>
  </r>
  <r>
    <x v="289"/>
    <x v="2"/>
    <n v="822"/>
  </r>
  <r>
    <x v="319"/>
    <x v="0"/>
    <n v="1196"/>
  </r>
  <r>
    <x v="10"/>
    <x v="0"/>
    <n v="880"/>
  </r>
  <r>
    <x v="14"/>
    <x v="0"/>
    <n v="1027"/>
  </r>
  <r>
    <x v="200"/>
    <x v="1"/>
    <n v="822"/>
  </r>
  <r>
    <x v="307"/>
    <x v="0"/>
    <n v="849"/>
  </r>
  <r>
    <x v="210"/>
    <x v="2"/>
    <n v="1099"/>
  </r>
  <r>
    <x v="22"/>
    <x v="1"/>
    <n v="846"/>
  </r>
  <r>
    <x v="66"/>
    <x v="3"/>
    <n v="901"/>
  </r>
  <r>
    <x v="320"/>
    <x v="2"/>
    <n v="1092"/>
  </r>
  <r>
    <x v="56"/>
    <x v="0"/>
    <n v="1111"/>
  </r>
  <r>
    <x v="164"/>
    <x v="3"/>
    <n v="951"/>
  </r>
  <r>
    <x v="106"/>
    <x v="3"/>
    <n v="827"/>
  </r>
  <r>
    <x v="321"/>
    <x v="1"/>
    <n v="913"/>
  </r>
  <r>
    <x v="265"/>
    <x v="0"/>
    <n v="934"/>
  </r>
  <r>
    <x v="322"/>
    <x v="1"/>
    <n v="1081"/>
  </r>
  <r>
    <x v="323"/>
    <x v="2"/>
    <n v="1049"/>
  </r>
  <r>
    <x v="110"/>
    <x v="3"/>
    <n v="1098"/>
  </r>
  <r>
    <x v="286"/>
    <x v="3"/>
    <n v="1007"/>
  </r>
  <r>
    <x v="298"/>
    <x v="2"/>
    <n v="966"/>
  </r>
  <r>
    <x v="152"/>
    <x v="2"/>
    <n v="1051"/>
  </r>
  <r>
    <x v="300"/>
    <x v="1"/>
    <n v="922"/>
  </r>
  <r>
    <x v="210"/>
    <x v="2"/>
    <n v="931"/>
  </r>
  <r>
    <x v="143"/>
    <x v="0"/>
    <n v="1044"/>
  </r>
  <r>
    <x v="163"/>
    <x v="2"/>
    <n v="1108"/>
  </r>
  <r>
    <x v="324"/>
    <x v="1"/>
    <n v="1090"/>
  </r>
  <r>
    <x v="239"/>
    <x v="3"/>
    <n v="813"/>
  </r>
  <r>
    <x v="34"/>
    <x v="3"/>
    <n v="1111"/>
  </r>
  <r>
    <x v="33"/>
    <x v="0"/>
    <n v="959"/>
  </r>
  <r>
    <x v="319"/>
    <x v="3"/>
    <n v="936"/>
  </r>
  <r>
    <x v="305"/>
    <x v="3"/>
    <n v="1037"/>
  </r>
  <r>
    <x v="271"/>
    <x v="1"/>
    <n v="877"/>
  </r>
  <r>
    <x v="168"/>
    <x v="3"/>
    <n v="1009"/>
  </r>
  <r>
    <x v="325"/>
    <x v="2"/>
    <n v="923"/>
  </r>
  <r>
    <x v="142"/>
    <x v="2"/>
    <n v="1046"/>
  </r>
  <r>
    <x v="23"/>
    <x v="1"/>
    <n v="822"/>
  </r>
  <r>
    <x v="188"/>
    <x v="3"/>
    <n v="1178"/>
  </r>
  <r>
    <x v="292"/>
    <x v="2"/>
    <n v="1044"/>
  </r>
  <r>
    <x v="31"/>
    <x v="2"/>
    <n v="962"/>
  </r>
  <r>
    <x v="230"/>
    <x v="2"/>
    <n v="1105"/>
  </r>
  <r>
    <x v="118"/>
    <x v="1"/>
    <n v="1038"/>
  </r>
  <r>
    <x v="267"/>
    <x v="0"/>
    <n v="958"/>
  </r>
  <r>
    <x v="252"/>
    <x v="1"/>
    <n v="817"/>
  </r>
  <r>
    <x v="321"/>
    <x v="1"/>
    <n v="1012"/>
  </r>
  <r>
    <x v="230"/>
    <x v="0"/>
    <n v="1029"/>
  </r>
  <r>
    <x v="24"/>
    <x v="2"/>
    <n v="1055"/>
  </r>
  <r>
    <x v="184"/>
    <x v="2"/>
    <n v="1079"/>
  </r>
  <r>
    <x v="89"/>
    <x v="1"/>
    <n v="1171"/>
  </r>
  <r>
    <x v="154"/>
    <x v="2"/>
    <n v="1082"/>
  </r>
  <r>
    <x v="53"/>
    <x v="3"/>
    <n v="831"/>
  </r>
  <r>
    <x v="290"/>
    <x v="0"/>
    <n v="851"/>
  </r>
  <r>
    <x v="129"/>
    <x v="0"/>
    <n v="1165"/>
  </r>
  <r>
    <x v="209"/>
    <x v="2"/>
    <n v="1020"/>
  </r>
  <r>
    <x v="246"/>
    <x v="3"/>
    <n v="980"/>
  </r>
  <r>
    <x v="43"/>
    <x v="3"/>
    <n v="913"/>
  </r>
  <r>
    <x v="57"/>
    <x v="0"/>
    <n v="1040"/>
  </r>
  <r>
    <x v="201"/>
    <x v="1"/>
    <n v="814"/>
  </r>
  <r>
    <x v="76"/>
    <x v="1"/>
    <n v="804"/>
  </r>
  <r>
    <x v="326"/>
    <x v="0"/>
    <n v="802"/>
  </r>
  <r>
    <x v="187"/>
    <x v="1"/>
    <n v="911"/>
  </r>
  <r>
    <x v="276"/>
    <x v="0"/>
    <n v="1187"/>
  </r>
  <r>
    <x v="72"/>
    <x v="1"/>
    <n v="945"/>
  </r>
  <r>
    <x v="243"/>
    <x v="1"/>
    <n v="1133"/>
  </r>
  <r>
    <x v="284"/>
    <x v="0"/>
    <n v="1122"/>
  </r>
  <r>
    <x v="96"/>
    <x v="3"/>
    <n v="1144"/>
  </r>
  <r>
    <x v="53"/>
    <x v="3"/>
    <n v="1126"/>
  </r>
  <r>
    <x v="129"/>
    <x v="2"/>
    <n v="839"/>
  </r>
  <r>
    <x v="209"/>
    <x v="3"/>
    <n v="1024"/>
  </r>
  <r>
    <x v="295"/>
    <x v="1"/>
    <n v="867"/>
  </r>
  <r>
    <x v="136"/>
    <x v="3"/>
    <n v="1019"/>
  </r>
  <r>
    <x v="123"/>
    <x v="0"/>
    <n v="898"/>
  </r>
  <r>
    <x v="68"/>
    <x v="0"/>
    <n v="1134"/>
  </r>
  <r>
    <x v="50"/>
    <x v="0"/>
    <n v="1181"/>
  </r>
  <r>
    <x v="203"/>
    <x v="3"/>
    <n v="921"/>
  </r>
  <r>
    <x v="283"/>
    <x v="2"/>
    <n v="1181"/>
  </r>
  <r>
    <x v="64"/>
    <x v="3"/>
    <n v="908"/>
  </r>
  <r>
    <x v="327"/>
    <x v="3"/>
    <n v="1184"/>
  </r>
  <r>
    <x v="52"/>
    <x v="2"/>
    <n v="856"/>
  </r>
  <r>
    <x v="215"/>
    <x v="2"/>
    <n v="990"/>
  </r>
  <r>
    <x v="32"/>
    <x v="2"/>
    <n v="938"/>
  </r>
  <r>
    <x v="307"/>
    <x v="3"/>
    <n v="1105"/>
  </r>
  <r>
    <x v="221"/>
    <x v="3"/>
    <n v="1120"/>
  </r>
  <r>
    <x v="270"/>
    <x v="3"/>
    <n v="930"/>
  </r>
  <r>
    <x v="94"/>
    <x v="2"/>
    <n v="1154"/>
  </r>
  <r>
    <x v="41"/>
    <x v="1"/>
    <n v="912"/>
  </r>
  <r>
    <x v="307"/>
    <x v="3"/>
    <n v="819"/>
  </r>
  <r>
    <x v="145"/>
    <x v="3"/>
    <n v="805"/>
  </r>
  <r>
    <x v="328"/>
    <x v="0"/>
    <n v="917"/>
  </r>
  <r>
    <x v="254"/>
    <x v="1"/>
    <n v="1114"/>
  </r>
  <r>
    <x v="85"/>
    <x v="1"/>
    <n v="1139"/>
  </r>
  <r>
    <x v="129"/>
    <x v="3"/>
    <n v="905"/>
  </r>
  <r>
    <x v="59"/>
    <x v="2"/>
    <n v="1033"/>
  </r>
  <r>
    <x v="204"/>
    <x v="0"/>
    <n v="813"/>
  </r>
  <r>
    <x v="174"/>
    <x v="2"/>
    <n v="1082"/>
  </r>
  <r>
    <x v="329"/>
    <x v="2"/>
    <n v="949"/>
  </r>
  <r>
    <x v="174"/>
    <x v="1"/>
    <n v="897"/>
  </r>
  <r>
    <x v="205"/>
    <x v="0"/>
    <n v="990"/>
  </r>
  <r>
    <x v="66"/>
    <x v="0"/>
    <n v="916"/>
  </r>
  <r>
    <x v="265"/>
    <x v="3"/>
    <n v="982"/>
  </r>
  <r>
    <x v="168"/>
    <x v="1"/>
    <n v="1062"/>
  </r>
  <r>
    <x v="329"/>
    <x v="2"/>
    <n v="1124"/>
  </r>
  <r>
    <x v="195"/>
    <x v="1"/>
    <n v="998"/>
  </r>
  <r>
    <x v="274"/>
    <x v="0"/>
    <n v="881"/>
  </r>
  <r>
    <x v="312"/>
    <x v="0"/>
    <n v="903"/>
  </r>
  <r>
    <x v="278"/>
    <x v="3"/>
    <n v="1154"/>
  </r>
  <r>
    <x v="59"/>
    <x v="1"/>
    <n v="999"/>
  </r>
  <r>
    <x v="135"/>
    <x v="2"/>
    <n v="841"/>
  </r>
  <r>
    <x v="271"/>
    <x v="2"/>
    <n v="816"/>
  </r>
  <r>
    <x v="276"/>
    <x v="0"/>
    <n v="913"/>
  </r>
  <r>
    <x v="219"/>
    <x v="3"/>
    <n v="978"/>
  </r>
  <r>
    <x v="285"/>
    <x v="3"/>
    <n v="1076"/>
  </r>
  <r>
    <x v="266"/>
    <x v="3"/>
    <n v="1001"/>
  </r>
  <r>
    <x v="330"/>
    <x v="2"/>
    <n v="1097"/>
  </r>
  <r>
    <x v="311"/>
    <x v="2"/>
    <n v="1159"/>
  </r>
  <r>
    <x v="288"/>
    <x v="3"/>
    <n v="962"/>
  </r>
  <r>
    <x v="186"/>
    <x v="1"/>
    <n v="1037"/>
  </r>
  <r>
    <x v="55"/>
    <x v="0"/>
    <n v="1198"/>
  </r>
  <r>
    <x v="7"/>
    <x v="2"/>
    <n v="991"/>
  </r>
  <r>
    <x v="150"/>
    <x v="1"/>
    <n v="1090"/>
  </r>
  <r>
    <x v="19"/>
    <x v="3"/>
    <n v="1130"/>
  </r>
  <r>
    <x v="77"/>
    <x v="2"/>
    <n v="947"/>
  </r>
  <r>
    <x v="279"/>
    <x v="0"/>
    <n v="985"/>
  </r>
  <r>
    <x v="184"/>
    <x v="0"/>
    <n v="1074"/>
  </r>
  <r>
    <x v="254"/>
    <x v="0"/>
    <n v="801"/>
  </r>
  <r>
    <x v="14"/>
    <x v="2"/>
    <n v="838"/>
  </r>
  <r>
    <x v="241"/>
    <x v="2"/>
    <n v="1000"/>
  </r>
  <r>
    <x v="162"/>
    <x v="2"/>
    <n v="840"/>
  </r>
  <r>
    <x v="171"/>
    <x v="3"/>
    <n v="1097"/>
  </r>
  <r>
    <x v="224"/>
    <x v="1"/>
    <n v="1086"/>
  </r>
  <r>
    <x v="130"/>
    <x v="2"/>
    <n v="996"/>
  </r>
  <r>
    <x v="57"/>
    <x v="3"/>
    <n v="1084"/>
  </r>
  <r>
    <x v="10"/>
    <x v="3"/>
    <n v="1137"/>
  </r>
  <r>
    <x v="37"/>
    <x v="3"/>
    <n v="1000"/>
  </r>
  <r>
    <x v="98"/>
    <x v="3"/>
    <n v="853"/>
  </r>
  <r>
    <x v="234"/>
    <x v="0"/>
    <n v="820"/>
  </r>
  <r>
    <x v="152"/>
    <x v="0"/>
    <n v="1103"/>
  </r>
  <r>
    <x v="235"/>
    <x v="1"/>
    <n v="955"/>
  </r>
  <r>
    <x v="22"/>
    <x v="1"/>
    <n v="1045"/>
  </r>
  <r>
    <x v="273"/>
    <x v="0"/>
    <n v="1149"/>
  </r>
  <r>
    <x v="11"/>
    <x v="0"/>
    <n v="1170"/>
  </r>
  <r>
    <x v="139"/>
    <x v="3"/>
    <n v="974"/>
  </r>
  <r>
    <x v="197"/>
    <x v="2"/>
    <n v="1186"/>
  </r>
  <r>
    <x v="328"/>
    <x v="0"/>
    <n v="1042"/>
  </r>
  <r>
    <x v="159"/>
    <x v="2"/>
    <n v="1081"/>
  </r>
  <r>
    <x v="233"/>
    <x v="3"/>
    <n v="1075"/>
  </r>
  <r>
    <x v="223"/>
    <x v="1"/>
    <n v="1051"/>
  </r>
  <r>
    <x v="190"/>
    <x v="0"/>
    <n v="916"/>
  </r>
  <r>
    <x v="115"/>
    <x v="0"/>
    <n v="1167"/>
  </r>
  <r>
    <x v="211"/>
    <x v="3"/>
    <n v="1018"/>
  </r>
  <r>
    <x v="331"/>
    <x v="0"/>
    <n v="1157"/>
  </r>
  <r>
    <x v="147"/>
    <x v="2"/>
    <n v="1039"/>
  </r>
  <r>
    <x v="229"/>
    <x v="3"/>
    <n v="835"/>
  </r>
  <r>
    <x v="150"/>
    <x v="1"/>
    <n v="989"/>
  </r>
  <r>
    <x v="245"/>
    <x v="3"/>
    <n v="1102"/>
  </r>
  <r>
    <x v="168"/>
    <x v="1"/>
    <n v="894"/>
  </r>
  <r>
    <x v="128"/>
    <x v="1"/>
    <n v="967"/>
  </r>
  <r>
    <x v="74"/>
    <x v="3"/>
    <n v="1079"/>
  </r>
  <r>
    <x v="312"/>
    <x v="0"/>
    <n v="1197"/>
  </r>
  <r>
    <x v="332"/>
    <x v="1"/>
    <n v="1068"/>
  </r>
  <r>
    <x v="36"/>
    <x v="1"/>
    <n v="1049"/>
  </r>
  <r>
    <x v="326"/>
    <x v="1"/>
    <n v="1089"/>
  </r>
  <r>
    <x v="224"/>
    <x v="3"/>
    <n v="1179"/>
  </r>
  <r>
    <x v="161"/>
    <x v="0"/>
    <n v="876"/>
  </r>
  <r>
    <x v="284"/>
    <x v="1"/>
    <n v="948"/>
  </r>
  <r>
    <x v="2"/>
    <x v="1"/>
    <n v="1028"/>
  </r>
  <r>
    <x v="34"/>
    <x v="0"/>
    <n v="829"/>
  </r>
  <r>
    <x v="242"/>
    <x v="1"/>
    <n v="1116"/>
  </r>
  <r>
    <x v="205"/>
    <x v="0"/>
    <n v="1046"/>
  </r>
  <r>
    <x v="187"/>
    <x v="2"/>
    <n v="1039"/>
  </r>
  <r>
    <x v="297"/>
    <x v="1"/>
    <n v="1184"/>
  </r>
  <r>
    <x v="21"/>
    <x v="1"/>
    <n v="1177"/>
  </r>
  <r>
    <x v="67"/>
    <x v="3"/>
    <n v="910"/>
  </r>
  <r>
    <x v="232"/>
    <x v="0"/>
    <n v="806"/>
  </r>
  <r>
    <x v="31"/>
    <x v="3"/>
    <n v="937"/>
  </r>
  <r>
    <x v="111"/>
    <x v="2"/>
    <n v="1050"/>
  </r>
  <r>
    <x v="4"/>
    <x v="0"/>
    <n v="897"/>
  </r>
  <r>
    <x v="189"/>
    <x v="3"/>
    <n v="1162"/>
  </r>
  <r>
    <x v="188"/>
    <x v="1"/>
    <n v="956"/>
  </r>
  <r>
    <x v="53"/>
    <x v="0"/>
    <n v="1112"/>
  </r>
  <r>
    <x v="87"/>
    <x v="1"/>
    <n v="868"/>
  </r>
  <r>
    <x v="312"/>
    <x v="3"/>
    <n v="891"/>
  </r>
  <r>
    <x v="333"/>
    <x v="1"/>
    <n v="828"/>
  </r>
  <r>
    <x v="316"/>
    <x v="3"/>
    <n v="1086"/>
  </r>
  <r>
    <x v="334"/>
    <x v="0"/>
    <n v="1063"/>
  </r>
  <r>
    <x v="277"/>
    <x v="3"/>
    <n v="1123"/>
  </r>
  <r>
    <x v="335"/>
    <x v="2"/>
    <n v="888"/>
  </r>
  <r>
    <x v="180"/>
    <x v="2"/>
    <n v="862"/>
  </r>
  <r>
    <x v="303"/>
    <x v="1"/>
    <n v="1019"/>
  </r>
  <r>
    <x v="176"/>
    <x v="2"/>
    <n v="850"/>
  </r>
  <r>
    <x v="183"/>
    <x v="1"/>
    <n v="1122"/>
  </r>
  <r>
    <x v="131"/>
    <x v="2"/>
    <n v="1014"/>
  </r>
  <r>
    <x v="133"/>
    <x v="3"/>
    <n v="948"/>
  </r>
  <r>
    <x v="93"/>
    <x v="3"/>
    <n v="820"/>
  </r>
  <r>
    <x v="280"/>
    <x v="3"/>
    <n v="889"/>
  </r>
  <r>
    <x v="298"/>
    <x v="2"/>
    <n v="815"/>
  </r>
  <r>
    <x v="169"/>
    <x v="0"/>
    <n v="1083"/>
  </r>
  <r>
    <x v="110"/>
    <x v="2"/>
    <n v="812"/>
  </r>
  <r>
    <x v="32"/>
    <x v="3"/>
    <n v="950"/>
  </r>
  <r>
    <x v="91"/>
    <x v="0"/>
    <n v="1062"/>
  </r>
  <r>
    <x v="167"/>
    <x v="0"/>
    <n v="959"/>
  </r>
  <r>
    <x v="7"/>
    <x v="0"/>
    <n v="930"/>
  </r>
  <r>
    <x v="33"/>
    <x v="0"/>
    <n v="865"/>
  </r>
  <r>
    <x v="67"/>
    <x v="3"/>
    <n v="957"/>
  </r>
  <r>
    <x v="32"/>
    <x v="1"/>
    <n v="847"/>
  </r>
  <r>
    <x v="72"/>
    <x v="2"/>
    <n v="818"/>
  </r>
  <r>
    <x v="68"/>
    <x v="0"/>
    <n v="1124"/>
  </r>
  <r>
    <x v="336"/>
    <x v="0"/>
    <n v="1093"/>
  </r>
  <r>
    <x v="221"/>
    <x v="3"/>
    <n v="984"/>
  </r>
  <r>
    <x v="219"/>
    <x v="1"/>
    <n v="914"/>
  </r>
  <r>
    <x v="45"/>
    <x v="3"/>
    <n v="975"/>
  </r>
  <r>
    <x v="174"/>
    <x v="3"/>
    <n v="806"/>
  </r>
  <r>
    <x v="39"/>
    <x v="0"/>
    <n v="1030"/>
  </r>
  <r>
    <x v="115"/>
    <x v="2"/>
    <n v="1043"/>
  </r>
  <r>
    <x v="185"/>
    <x v="3"/>
    <n v="996"/>
  </r>
  <r>
    <x v="279"/>
    <x v="3"/>
    <n v="807"/>
  </r>
  <r>
    <x v="337"/>
    <x v="3"/>
    <n v="818"/>
  </r>
  <r>
    <x v="220"/>
    <x v="0"/>
    <n v="1178"/>
  </r>
  <r>
    <x v="157"/>
    <x v="3"/>
    <n v="842"/>
  </r>
  <r>
    <x v="264"/>
    <x v="0"/>
    <n v="807"/>
  </r>
  <r>
    <x v="66"/>
    <x v="1"/>
    <n v="959"/>
  </r>
  <r>
    <x v="157"/>
    <x v="2"/>
    <n v="865"/>
  </r>
  <r>
    <x v="327"/>
    <x v="2"/>
    <n v="1166"/>
  </r>
  <r>
    <x v="137"/>
    <x v="3"/>
    <n v="1123"/>
  </r>
  <r>
    <x v="219"/>
    <x v="2"/>
    <n v="1130"/>
  </r>
  <r>
    <x v="233"/>
    <x v="0"/>
    <n v="830"/>
  </r>
  <r>
    <x v="288"/>
    <x v="1"/>
    <n v="1095"/>
  </r>
  <r>
    <x v="120"/>
    <x v="1"/>
    <n v="846"/>
  </r>
  <r>
    <x v="172"/>
    <x v="0"/>
    <n v="913"/>
  </r>
  <r>
    <x v="313"/>
    <x v="3"/>
    <n v="1096"/>
  </r>
  <r>
    <x v="235"/>
    <x v="2"/>
    <n v="1024"/>
  </r>
  <r>
    <x v="48"/>
    <x v="3"/>
    <n v="985"/>
  </r>
  <r>
    <x v="154"/>
    <x v="3"/>
    <n v="1043"/>
  </r>
  <r>
    <x v="60"/>
    <x v="2"/>
    <n v="846"/>
  </r>
  <r>
    <x v="304"/>
    <x v="3"/>
    <n v="925"/>
  </r>
  <r>
    <x v="310"/>
    <x v="0"/>
    <n v="1158"/>
  </r>
  <r>
    <x v="187"/>
    <x v="0"/>
    <n v="959"/>
  </r>
  <r>
    <x v="270"/>
    <x v="0"/>
    <n v="1132"/>
  </r>
  <r>
    <x v="157"/>
    <x v="3"/>
    <n v="1128"/>
  </r>
  <r>
    <x v="226"/>
    <x v="0"/>
    <n v="1054"/>
  </r>
  <r>
    <x v="123"/>
    <x v="3"/>
    <n v="1169"/>
  </r>
  <r>
    <x v="164"/>
    <x v="1"/>
    <n v="1122"/>
  </r>
  <r>
    <x v="165"/>
    <x v="3"/>
    <n v="841"/>
  </r>
  <r>
    <x v="327"/>
    <x v="3"/>
    <n v="1199"/>
  </r>
  <r>
    <x v="24"/>
    <x v="1"/>
    <n v="932"/>
  </r>
  <r>
    <x v="90"/>
    <x v="2"/>
    <n v="810"/>
  </r>
  <r>
    <x v="21"/>
    <x v="1"/>
    <n v="848"/>
  </r>
  <r>
    <x v="142"/>
    <x v="3"/>
    <n v="1013"/>
  </r>
  <r>
    <x v="127"/>
    <x v="0"/>
    <n v="1147"/>
  </r>
  <r>
    <x v="230"/>
    <x v="2"/>
    <n v="1094"/>
  </r>
  <r>
    <x v="43"/>
    <x v="1"/>
    <n v="836"/>
  </r>
  <r>
    <x v="240"/>
    <x v="1"/>
    <n v="1117"/>
  </r>
  <r>
    <x v="181"/>
    <x v="0"/>
    <n v="825"/>
  </r>
  <r>
    <x v="155"/>
    <x v="3"/>
    <n v="1173"/>
  </r>
  <r>
    <x v="273"/>
    <x v="1"/>
    <n v="963"/>
  </r>
  <r>
    <x v="33"/>
    <x v="3"/>
    <n v="1012"/>
  </r>
  <r>
    <x v="17"/>
    <x v="2"/>
    <n v="831"/>
  </r>
  <r>
    <x v="278"/>
    <x v="3"/>
    <n v="912"/>
  </r>
  <r>
    <x v="301"/>
    <x v="0"/>
    <n v="1024"/>
  </r>
  <r>
    <x v="4"/>
    <x v="2"/>
    <n v="1179"/>
  </r>
  <r>
    <x v="188"/>
    <x v="1"/>
    <n v="1173"/>
  </r>
  <r>
    <x v="186"/>
    <x v="3"/>
    <n v="1142"/>
  </r>
  <r>
    <x v="117"/>
    <x v="0"/>
    <n v="822"/>
  </r>
  <r>
    <x v="165"/>
    <x v="3"/>
    <n v="1070"/>
  </r>
  <r>
    <x v="338"/>
    <x v="0"/>
    <n v="912"/>
  </r>
  <r>
    <x v="156"/>
    <x v="2"/>
    <n v="885"/>
  </r>
  <r>
    <x v="38"/>
    <x v="2"/>
    <n v="1076"/>
  </r>
  <r>
    <x v="339"/>
    <x v="0"/>
    <n v="1127"/>
  </r>
  <r>
    <x v="80"/>
    <x v="2"/>
    <n v="1051"/>
  </r>
  <r>
    <x v="234"/>
    <x v="0"/>
    <n v="1123"/>
  </r>
  <r>
    <x v="33"/>
    <x v="2"/>
    <n v="995"/>
  </r>
  <r>
    <x v="60"/>
    <x v="1"/>
    <n v="1142"/>
  </r>
  <r>
    <x v="340"/>
    <x v="0"/>
    <n v="1200"/>
  </r>
  <r>
    <x v="88"/>
    <x v="2"/>
    <n v="1181"/>
  </r>
  <r>
    <x v="341"/>
    <x v="2"/>
    <n v="1168"/>
  </r>
  <r>
    <x v="163"/>
    <x v="3"/>
    <n v="1052"/>
  </r>
  <r>
    <x v="183"/>
    <x v="0"/>
    <n v="869"/>
  </r>
  <r>
    <x v="41"/>
    <x v="3"/>
    <n v="904"/>
  </r>
  <r>
    <x v="61"/>
    <x v="2"/>
    <n v="1069"/>
  </r>
  <r>
    <x v="302"/>
    <x v="0"/>
    <n v="1099"/>
  </r>
  <r>
    <x v="75"/>
    <x v="1"/>
    <n v="827"/>
  </r>
  <r>
    <x v="247"/>
    <x v="0"/>
    <n v="829"/>
  </r>
  <r>
    <x v="206"/>
    <x v="3"/>
    <n v="850"/>
  </r>
  <r>
    <x v="119"/>
    <x v="0"/>
    <n v="940"/>
  </r>
  <r>
    <x v="199"/>
    <x v="2"/>
    <n v="1122"/>
  </r>
  <r>
    <x v="113"/>
    <x v="0"/>
    <n v="1098"/>
  </r>
  <r>
    <x v="148"/>
    <x v="0"/>
    <n v="988"/>
  </r>
  <r>
    <x v="146"/>
    <x v="0"/>
    <n v="937"/>
  </r>
  <r>
    <x v="326"/>
    <x v="0"/>
    <n v="869"/>
  </r>
  <r>
    <x v="192"/>
    <x v="2"/>
    <n v="1086"/>
  </r>
  <r>
    <x v="323"/>
    <x v="2"/>
    <n v="894"/>
  </r>
  <r>
    <x v="18"/>
    <x v="1"/>
    <n v="1142"/>
  </r>
  <r>
    <x v="214"/>
    <x v="2"/>
    <n v="1111"/>
  </r>
  <r>
    <x v="295"/>
    <x v="3"/>
    <n v="886"/>
  </r>
  <r>
    <x v="85"/>
    <x v="1"/>
    <n v="1193"/>
  </r>
  <r>
    <x v="112"/>
    <x v="2"/>
    <n v="833"/>
  </r>
  <r>
    <x v="196"/>
    <x v="1"/>
    <n v="928"/>
  </r>
  <r>
    <x v="143"/>
    <x v="2"/>
    <n v="915"/>
  </r>
  <r>
    <x v="283"/>
    <x v="2"/>
    <n v="1197"/>
  </r>
  <r>
    <x v="238"/>
    <x v="2"/>
    <n v="1091"/>
  </r>
  <r>
    <x v="196"/>
    <x v="2"/>
    <n v="1057"/>
  </r>
  <r>
    <x v="70"/>
    <x v="2"/>
    <n v="1152"/>
  </r>
  <r>
    <x v="307"/>
    <x v="2"/>
    <n v="1039"/>
  </r>
  <r>
    <x v="331"/>
    <x v="1"/>
    <n v="845"/>
  </r>
  <r>
    <x v="137"/>
    <x v="0"/>
    <n v="831"/>
  </r>
  <r>
    <x v="68"/>
    <x v="3"/>
    <n v="892"/>
  </r>
  <r>
    <x v="313"/>
    <x v="1"/>
    <n v="841"/>
  </r>
  <r>
    <x v="151"/>
    <x v="0"/>
    <n v="1088"/>
  </r>
  <r>
    <x v="202"/>
    <x v="3"/>
    <n v="1087"/>
  </r>
  <r>
    <x v="100"/>
    <x v="0"/>
    <n v="1105"/>
  </r>
  <r>
    <x v="288"/>
    <x v="1"/>
    <n v="910"/>
  </r>
  <r>
    <x v="325"/>
    <x v="1"/>
    <n v="1012"/>
  </r>
  <r>
    <x v="264"/>
    <x v="0"/>
    <n v="877"/>
  </r>
  <r>
    <x v="299"/>
    <x v="0"/>
    <n v="945"/>
  </r>
  <r>
    <x v="156"/>
    <x v="3"/>
    <n v="1151"/>
  </r>
  <r>
    <x v="140"/>
    <x v="1"/>
    <n v="1150"/>
  </r>
  <r>
    <x v="342"/>
    <x v="1"/>
    <n v="891"/>
  </r>
  <r>
    <x v="68"/>
    <x v="0"/>
    <n v="949"/>
  </r>
  <r>
    <x v="201"/>
    <x v="2"/>
    <n v="849"/>
  </r>
  <r>
    <x v="270"/>
    <x v="1"/>
    <n v="856"/>
  </r>
  <r>
    <x v="336"/>
    <x v="2"/>
    <n v="802"/>
  </r>
  <r>
    <x v="179"/>
    <x v="0"/>
    <n v="1145"/>
  </r>
  <r>
    <x v="343"/>
    <x v="3"/>
    <n v="1089"/>
  </r>
  <r>
    <x v="98"/>
    <x v="3"/>
    <n v="1166"/>
  </r>
  <r>
    <x v="193"/>
    <x v="1"/>
    <n v="1069"/>
  </r>
  <r>
    <x v="123"/>
    <x v="2"/>
    <n v="957"/>
  </r>
  <r>
    <x v="60"/>
    <x v="3"/>
    <n v="1197"/>
  </r>
  <r>
    <x v="97"/>
    <x v="2"/>
    <n v="826"/>
  </r>
  <r>
    <x v="311"/>
    <x v="1"/>
    <n v="878"/>
  </r>
  <r>
    <x v="262"/>
    <x v="0"/>
    <n v="953"/>
  </r>
  <r>
    <x v="336"/>
    <x v="2"/>
    <n v="812"/>
  </r>
  <r>
    <x v="240"/>
    <x v="2"/>
    <n v="940"/>
  </r>
  <r>
    <x v="319"/>
    <x v="3"/>
    <n v="1133"/>
  </r>
  <r>
    <x v="344"/>
    <x v="2"/>
    <n v="963"/>
  </r>
  <r>
    <x v="23"/>
    <x v="2"/>
    <n v="1121"/>
  </r>
  <r>
    <x v="294"/>
    <x v="3"/>
    <n v="853"/>
  </r>
  <r>
    <x v="101"/>
    <x v="2"/>
    <n v="1064"/>
  </r>
  <r>
    <x v="176"/>
    <x v="3"/>
    <n v="869"/>
  </r>
  <r>
    <x v="47"/>
    <x v="0"/>
    <n v="1194"/>
  </r>
  <r>
    <x v="132"/>
    <x v="3"/>
    <n v="815"/>
  </r>
  <r>
    <x v="94"/>
    <x v="3"/>
    <n v="914"/>
  </r>
  <r>
    <x v="307"/>
    <x v="3"/>
    <n v="1111"/>
  </r>
  <r>
    <x v="181"/>
    <x v="2"/>
    <n v="824"/>
  </r>
  <r>
    <x v="112"/>
    <x v="2"/>
    <n v="859"/>
  </r>
  <r>
    <x v="43"/>
    <x v="3"/>
    <n v="8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2D0E7-D20A-404C-A4BE-DA5086525A24}" name="PivotTable8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J12:O18" firstHeaderRow="1" firstDataRow="2" firstDataCol="1"/>
  <pivotFields count="3"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dataField="1" numFmtId="164" showAll="0"/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" fld="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20FA-69BC-4219-9066-8C72E25B6781}">
  <sheetPr codeName="Sheet1"/>
  <dimension ref="A1:B13"/>
  <sheetViews>
    <sheetView tabSelected="1" workbookViewId="0"/>
  </sheetViews>
  <sheetFormatPr defaultRowHeight="15" x14ac:dyDescent="0.25"/>
  <cols>
    <col min="1" max="1" width="9.7109375" bestFit="1" customWidth="1"/>
    <col min="2" max="2" width="1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3">
        <v>44197</v>
      </c>
      <c r="B2" s="2">
        <f ca="1">RANDBETWEEN(10000,12000)</f>
        <v>11966</v>
      </c>
    </row>
    <row r="3" spans="1:2" x14ac:dyDescent="0.25">
      <c r="A3" s="3">
        <v>44228</v>
      </c>
      <c r="B3" s="2">
        <f ca="1">ROUND(B2*(1+RANDBETWEEN(10,20)/100),0)</f>
        <v>13282</v>
      </c>
    </row>
    <row r="4" spans="1:2" x14ac:dyDescent="0.25">
      <c r="A4" s="3">
        <v>44256</v>
      </c>
      <c r="B4" s="2">
        <f t="shared" ref="B4:B13" ca="1" si="0">ROUND(B3*(1+RANDBETWEEN(10,20)/100),0)</f>
        <v>15806</v>
      </c>
    </row>
    <row r="5" spans="1:2" x14ac:dyDescent="0.25">
      <c r="A5" s="3">
        <v>44287</v>
      </c>
      <c r="B5" s="2">
        <f t="shared" ca="1" si="0"/>
        <v>18809</v>
      </c>
    </row>
    <row r="6" spans="1:2" x14ac:dyDescent="0.25">
      <c r="A6" s="3">
        <v>44317</v>
      </c>
      <c r="B6" s="2">
        <f t="shared" ca="1" si="0"/>
        <v>21442</v>
      </c>
    </row>
    <row r="7" spans="1:2" x14ac:dyDescent="0.25">
      <c r="A7" s="3">
        <v>44348</v>
      </c>
      <c r="B7" s="2">
        <f t="shared" ca="1" si="0"/>
        <v>25087</v>
      </c>
    </row>
    <row r="8" spans="1:2" x14ac:dyDescent="0.25">
      <c r="A8" s="3">
        <v>44378</v>
      </c>
      <c r="B8" s="2">
        <f t="shared" ca="1" si="0"/>
        <v>29352</v>
      </c>
    </row>
    <row r="9" spans="1:2" x14ac:dyDescent="0.25">
      <c r="A9" s="3">
        <v>44409</v>
      </c>
      <c r="B9" s="2">
        <f t="shared" ca="1" si="0"/>
        <v>34048</v>
      </c>
    </row>
    <row r="10" spans="1:2" x14ac:dyDescent="0.25">
      <c r="A10" s="3">
        <v>44440</v>
      </c>
      <c r="B10" s="2">
        <f t="shared" ca="1" si="0"/>
        <v>40858</v>
      </c>
    </row>
    <row r="11" spans="1:2" x14ac:dyDescent="0.25">
      <c r="A11" s="3">
        <v>44470</v>
      </c>
      <c r="B11" s="2">
        <f t="shared" ca="1" si="0"/>
        <v>46170</v>
      </c>
    </row>
    <row r="12" spans="1:2" x14ac:dyDescent="0.25">
      <c r="A12" s="3">
        <v>44501</v>
      </c>
      <c r="B12" s="2">
        <f t="shared" ca="1" si="0"/>
        <v>52172</v>
      </c>
    </row>
    <row r="13" spans="1:2" x14ac:dyDescent="0.25">
      <c r="A13" s="3">
        <v>44531</v>
      </c>
      <c r="B13" s="2">
        <f t="shared" ca="1" si="0"/>
        <v>62085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C0FF-04FC-4E5E-BED3-56C09E1BA96F}">
  <sheetPr codeName="Sheet2"/>
  <dimension ref="A1:D32"/>
  <sheetViews>
    <sheetView workbookViewId="0"/>
  </sheetViews>
  <sheetFormatPr defaultRowHeight="15" x14ac:dyDescent="0.25"/>
  <cols>
    <col min="1" max="1" width="9.7109375" bestFit="1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 s="4">
        <v>44378</v>
      </c>
      <c r="B2" s="1">
        <v>20</v>
      </c>
      <c r="C2" s="1">
        <v>45</v>
      </c>
      <c r="D2" s="1">
        <v>60</v>
      </c>
    </row>
    <row r="3" spans="1:4" x14ac:dyDescent="0.25">
      <c r="A3" s="4">
        <v>44379</v>
      </c>
      <c r="B3" s="1">
        <v>21.44</v>
      </c>
      <c r="C3" s="1">
        <v>47.52</v>
      </c>
      <c r="D3" s="1">
        <v>57.36</v>
      </c>
    </row>
    <row r="4" spans="1:4" x14ac:dyDescent="0.25">
      <c r="A4" s="4">
        <v>44380</v>
      </c>
      <c r="B4" s="1">
        <v>22.812160000000002</v>
      </c>
      <c r="C4" s="1">
        <v>48.470400000000005</v>
      </c>
      <c r="D4" s="1">
        <v>56.671680000000002</v>
      </c>
    </row>
    <row r="5" spans="1:4" x14ac:dyDescent="0.25">
      <c r="A5" s="4">
        <v>44381</v>
      </c>
      <c r="B5" s="1">
        <v>23.724646400000005</v>
      </c>
      <c r="C5" s="1">
        <v>51.378624000000009</v>
      </c>
      <c r="D5" s="1">
        <v>57.351740160000006</v>
      </c>
    </row>
    <row r="6" spans="1:4" x14ac:dyDescent="0.25">
      <c r="A6" s="4">
        <v>44382</v>
      </c>
      <c r="B6" s="1">
        <v>25.337922355200007</v>
      </c>
      <c r="C6" s="1">
        <v>54.666855936000012</v>
      </c>
      <c r="D6" s="1">
        <v>54.369449671680002</v>
      </c>
    </row>
    <row r="7" spans="1:4" x14ac:dyDescent="0.25">
      <c r="A7" s="4">
        <v>44383</v>
      </c>
      <c r="B7" s="1">
        <v>26.95954938593281</v>
      </c>
      <c r="C7" s="1">
        <v>54.885523359744013</v>
      </c>
      <c r="D7" s="1">
        <v>51.977193886126081</v>
      </c>
    </row>
    <row r="8" spans="1:4" x14ac:dyDescent="0.25">
      <c r="A8" s="4">
        <v>44384</v>
      </c>
      <c r="B8" s="1">
        <v>29.116313336807437</v>
      </c>
      <c r="C8" s="1">
        <v>50.494681490964496</v>
      </c>
      <c r="D8" s="1">
        <v>51.977193886126081</v>
      </c>
    </row>
    <row r="9" spans="1:4" x14ac:dyDescent="0.25">
      <c r="A9" s="4">
        <v>44385</v>
      </c>
      <c r="B9" s="1">
        <v>31.329153150404803</v>
      </c>
      <c r="C9" s="1">
        <v>48.272915505362057</v>
      </c>
      <c r="D9" s="1">
        <v>49.898106130681036</v>
      </c>
    </row>
    <row r="10" spans="1:4" x14ac:dyDescent="0.25">
      <c r="A10" s="4">
        <v>44386</v>
      </c>
      <c r="B10" s="1">
        <v>32.958269114225857</v>
      </c>
      <c r="C10" s="1">
        <v>46.53509054716902</v>
      </c>
      <c r="D10" s="1">
        <v>52.492807649476454</v>
      </c>
    </row>
    <row r="11" spans="1:4" x14ac:dyDescent="0.25">
      <c r="A11" s="4">
        <v>44387</v>
      </c>
      <c r="B11" s="1">
        <v>35.06759833753631</v>
      </c>
      <c r="C11" s="1">
        <v>49.885617066565189</v>
      </c>
      <c r="D11" s="1">
        <v>53.542663802465981</v>
      </c>
    </row>
    <row r="12" spans="1:4" x14ac:dyDescent="0.25">
      <c r="A12" s="4">
        <v>44388</v>
      </c>
      <c r="B12" s="1">
        <v>37.171654237788488</v>
      </c>
      <c r="C12" s="1">
        <v>46.493395106038754</v>
      </c>
      <c r="D12" s="1">
        <v>56.96939428582381</v>
      </c>
    </row>
    <row r="13" spans="1:4" x14ac:dyDescent="0.25">
      <c r="A13" s="4">
        <v>44389</v>
      </c>
      <c r="B13" s="1">
        <v>39.253266875104643</v>
      </c>
      <c r="C13" s="1">
        <v>45.191580043069671</v>
      </c>
      <c r="D13" s="1">
        <v>58.33665974868358</v>
      </c>
    </row>
    <row r="14" spans="1:4" x14ac:dyDescent="0.25">
      <c r="A14" s="4">
        <v>44390</v>
      </c>
      <c r="B14" s="1">
        <v>41.294436752610089</v>
      </c>
      <c r="C14" s="1">
        <v>42.660851560657768</v>
      </c>
      <c r="D14" s="1">
        <v>60.436779499636188</v>
      </c>
    </row>
    <row r="15" spans="1:4" x14ac:dyDescent="0.25">
      <c r="A15" s="4">
        <v>44391</v>
      </c>
      <c r="B15" s="1">
        <v>44.597991692818901</v>
      </c>
      <c r="C15" s="1">
        <v>40.613130685746192</v>
      </c>
      <c r="D15" s="1">
        <v>61.887262207627458</v>
      </c>
    </row>
    <row r="16" spans="1:4" x14ac:dyDescent="0.25">
      <c r="A16" s="4">
        <v>44392</v>
      </c>
      <c r="B16" s="1">
        <v>46.738695294074212</v>
      </c>
      <c r="C16" s="1">
        <v>43.212371049633951</v>
      </c>
      <c r="D16" s="1">
        <v>59.906869816983381</v>
      </c>
    </row>
    <row r="17" spans="1:4" x14ac:dyDescent="0.25">
      <c r="A17" s="4">
        <v>44393</v>
      </c>
      <c r="B17" s="1">
        <v>49.169107449366074</v>
      </c>
      <c r="C17" s="1">
        <v>42.175274144442739</v>
      </c>
      <c r="D17" s="1">
        <v>64.699419402342059</v>
      </c>
    </row>
    <row r="18" spans="1:4" x14ac:dyDescent="0.25">
      <c r="A18" s="4">
        <v>44394</v>
      </c>
      <c r="B18" s="1">
        <v>51.725901036733113</v>
      </c>
      <c r="C18" s="1">
        <v>41.33176866155388</v>
      </c>
      <c r="D18" s="1">
        <v>60.817454238201535</v>
      </c>
    </row>
    <row r="19" spans="1:4" x14ac:dyDescent="0.25">
      <c r="A19" s="4">
        <v>44395</v>
      </c>
      <c r="B19" s="1">
        <v>55.450165911377901</v>
      </c>
      <c r="C19" s="1">
        <v>41.001114512261452</v>
      </c>
      <c r="D19" s="1">
        <v>63.493422224682405</v>
      </c>
    </row>
    <row r="20" spans="1:4" x14ac:dyDescent="0.25">
      <c r="A20" s="4">
        <v>44396</v>
      </c>
      <c r="B20" s="1">
        <v>58.555375202415064</v>
      </c>
      <c r="C20" s="1">
        <v>38.04903426737863</v>
      </c>
      <c r="D20" s="1">
        <v>62.223553780188759</v>
      </c>
    </row>
    <row r="21" spans="1:4" x14ac:dyDescent="0.25">
      <c r="A21" s="4">
        <v>44397</v>
      </c>
      <c r="B21" s="1">
        <v>60.897590210511666</v>
      </c>
      <c r="C21" s="1">
        <v>38.962211089795716</v>
      </c>
      <c r="D21" s="1">
        <v>62.970236425551022</v>
      </c>
    </row>
    <row r="22" spans="1:4" x14ac:dyDescent="0.25">
      <c r="A22" s="4">
        <v>44398</v>
      </c>
      <c r="B22" s="1">
        <v>65.525807066510552</v>
      </c>
      <c r="C22" s="1">
        <v>38.182966867999802</v>
      </c>
      <c r="D22" s="1">
        <v>64.985283991168657</v>
      </c>
    </row>
    <row r="23" spans="1:4" x14ac:dyDescent="0.25">
      <c r="A23" s="4">
        <v>44399</v>
      </c>
      <c r="B23" s="1">
        <v>70.243665175299313</v>
      </c>
      <c r="C23" s="1">
        <v>41.084872349967789</v>
      </c>
      <c r="D23" s="1">
        <v>66.025048535027352</v>
      </c>
    </row>
    <row r="24" spans="1:4" x14ac:dyDescent="0.25">
      <c r="A24" s="4">
        <v>44400</v>
      </c>
      <c r="B24" s="1">
        <v>75.301209067920865</v>
      </c>
      <c r="C24" s="1">
        <v>43.385625201565986</v>
      </c>
      <c r="D24" s="1">
        <v>65.496848146747126</v>
      </c>
    </row>
    <row r="25" spans="1:4" x14ac:dyDescent="0.25">
      <c r="A25" s="4">
        <v>44401</v>
      </c>
      <c r="B25" s="1">
        <v>78.313257430637705</v>
      </c>
      <c r="C25" s="1">
        <v>44.426880206403574</v>
      </c>
      <c r="D25" s="1">
        <v>61.829024650529284</v>
      </c>
    </row>
    <row r="26" spans="1:4" x14ac:dyDescent="0.25">
      <c r="A26" s="4">
        <v>44402</v>
      </c>
      <c r="B26" s="1">
        <v>84.265064995366174</v>
      </c>
      <c r="C26" s="1">
        <v>46.026247893834103</v>
      </c>
      <c r="D26" s="1">
        <v>61.829024650529284</v>
      </c>
    </row>
    <row r="27" spans="1:4" x14ac:dyDescent="0.25">
      <c r="A27" s="4">
        <v>44403</v>
      </c>
      <c r="B27" s="1">
        <v>87.97272785516229</v>
      </c>
      <c r="C27" s="1">
        <v>45.658037910683433</v>
      </c>
      <c r="D27" s="1">
        <v>59.850495861712346</v>
      </c>
    </row>
    <row r="28" spans="1:4" x14ac:dyDescent="0.25">
      <c r="A28" s="4">
        <v>44404</v>
      </c>
      <c r="B28" s="1">
        <v>94.306764260733985</v>
      </c>
      <c r="C28" s="1">
        <v>43.649084242613363</v>
      </c>
      <c r="D28" s="1">
        <v>58.414083961031245</v>
      </c>
    </row>
    <row r="29" spans="1:4" x14ac:dyDescent="0.25">
      <c r="A29" s="4">
        <v>44405</v>
      </c>
      <c r="B29" s="1">
        <v>98.456261888206285</v>
      </c>
      <c r="C29" s="1">
        <v>40.855542851086106</v>
      </c>
      <c r="D29" s="1">
        <v>58.180427625187122</v>
      </c>
    </row>
    <row r="30" spans="1:4" x14ac:dyDescent="0.25">
      <c r="A30" s="4">
        <v>44406</v>
      </c>
      <c r="B30" s="1">
        <v>105.54511274415714</v>
      </c>
      <c r="C30" s="1">
        <v>38.894476794233974</v>
      </c>
      <c r="D30" s="1">
        <v>61.438531572197604</v>
      </c>
    </row>
    <row r="31" spans="1:4" x14ac:dyDescent="0.25">
      <c r="A31" s="4">
        <v>44407</v>
      </c>
      <c r="B31" s="1">
        <v>110.18909770490005</v>
      </c>
      <c r="C31" s="1">
        <v>40.761411680357206</v>
      </c>
      <c r="D31" s="1">
        <v>63.896072835085512</v>
      </c>
    </row>
    <row r="32" spans="1:4" x14ac:dyDescent="0.25">
      <c r="A32" s="4">
        <v>44408</v>
      </c>
      <c r="B32" s="1">
        <v>118.12271273965285</v>
      </c>
      <c r="C32" s="1">
        <v>39.130955213142919</v>
      </c>
      <c r="D32" s="1">
        <v>62.873735669724141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CBF4-9D74-4C4E-939A-A3F7D6D4C2E8}">
  <sheetPr codeName="Sheet3"/>
  <dimension ref="A1:B13"/>
  <sheetViews>
    <sheetView workbookViewId="0"/>
  </sheetViews>
  <sheetFormatPr defaultRowHeight="15" x14ac:dyDescent="0.25"/>
  <cols>
    <col min="1" max="1" width="9.7109375" bestFit="1" customWidth="1"/>
    <col min="2" max="2" width="1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3">
        <v>44197</v>
      </c>
      <c r="B2" s="2">
        <f ca="1">RANDBETWEEN(10000,12000)</f>
        <v>11215</v>
      </c>
    </row>
    <row r="3" spans="1:2" x14ac:dyDescent="0.25">
      <c r="A3" s="3">
        <v>44228</v>
      </c>
      <c r="B3" s="2">
        <f ca="1">ROUND(B2*(1+RANDBETWEEN(10,20)/100),0)</f>
        <v>13009</v>
      </c>
    </row>
    <row r="4" spans="1:2" x14ac:dyDescent="0.25">
      <c r="A4" s="3">
        <v>44256</v>
      </c>
      <c r="B4" s="2">
        <f t="shared" ref="B4:B13" ca="1" si="0">ROUND(B3*(1+RANDBETWEEN(10,20)/100),0)</f>
        <v>15351</v>
      </c>
    </row>
    <row r="5" spans="1:2" x14ac:dyDescent="0.25">
      <c r="A5" s="3">
        <v>44287</v>
      </c>
      <c r="B5" s="2">
        <f t="shared" ca="1" si="0"/>
        <v>17807</v>
      </c>
    </row>
    <row r="6" spans="1:2" x14ac:dyDescent="0.25">
      <c r="A6" s="3">
        <v>44317</v>
      </c>
      <c r="B6" s="2">
        <f t="shared" ca="1" si="0"/>
        <v>20122</v>
      </c>
    </row>
    <row r="7" spans="1:2" x14ac:dyDescent="0.25">
      <c r="A7" s="3">
        <v>44348</v>
      </c>
      <c r="B7" s="2">
        <f t="shared" ca="1" si="0"/>
        <v>22335</v>
      </c>
    </row>
    <row r="8" spans="1:2" x14ac:dyDescent="0.25">
      <c r="A8" s="3">
        <v>44378</v>
      </c>
      <c r="B8" s="2">
        <f t="shared" ca="1" si="0"/>
        <v>25462</v>
      </c>
    </row>
    <row r="9" spans="1:2" x14ac:dyDescent="0.25">
      <c r="A9" s="3">
        <v>44409</v>
      </c>
      <c r="B9" s="2">
        <f t="shared" ca="1" si="0"/>
        <v>29281</v>
      </c>
    </row>
    <row r="10" spans="1:2" x14ac:dyDescent="0.25">
      <c r="A10" s="3">
        <v>44440</v>
      </c>
      <c r="B10" s="2">
        <f t="shared" ca="1" si="0"/>
        <v>33966</v>
      </c>
    </row>
    <row r="11" spans="1:2" x14ac:dyDescent="0.25">
      <c r="A11" s="3">
        <v>44470</v>
      </c>
      <c r="B11" s="2">
        <f t="shared" ca="1" si="0"/>
        <v>37702</v>
      </c>
    </row>
    <row r="12" spans="1:2" x14ac:dyDescent="0.25">
      <c r="A12" s="3">
        <v>44501</v>
      </c>
      <c r="B12" s="2">
        <f t="shared" ca="1" si="0"/>
        <v>41472</v>
      </c>
    </row>
    <row r="13" spans="1:2" x14ac:dyDescent="0.25">
      <c r="A13" s="3">
        <v>44531</v>
      </c>
      <c r="B13" s="2">
        <f t="shared" ca="1" si="0"/>
        <v>46863</v>
      </c>
    </row>
  </sheetData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63C0-DEE2-4CF7-AF76-51A81C439DDA}">
  <sheetPr codeName="Sheet4"/>
  <dimension ref="A1:H7"/>
  <sheetViews>
    <sheetView workbookViewId="0"/>
  </sheetViews>
  <sheetFormatPr defaultRowHeight="15" x14ac:dyDescent="0.25"/>
  <sheetData>
    <row r="1" spans="1:8" x14ac:dyDescent="0.25">
      <c r="A1" t="s">
        <v>6</v>
      </c>
      <c r="B1" t="s">
        <v>7</v>
      </c>
      <c r="G1" t="s">
        <v>8</v>
      </c>
      <c r="H1" t="s">
        <v>9</v>
      </c>
    </row>
    <row r="2" spans="1:8" x14ac:dyDescent="0.25">
      <c r="A2">
        <v>1</v>
      </c>
      <c r="B2">
        <v>96</v>
      </c>
      <c r="C2">
        <f>B3-B2</f>
        <v>-28</v>
      </c>
      <c r="D2" s="5">
        <f>C2/B2</f>
        <v>-0.29166666666666669</v>
      </c>
      <c r="E2" s="5"/>
      <c r="F2">
        <f>A2+0.5</f>
        <v>1.5</v>
      </c>
      <c r="G2" s="2" t="e">
        <f>IF(C2&gt;0,B3,NA())</f>
        <v>#N/A</v>
      </c>
      <c r="H2" s="2">
        <f>IF(C2&lt;0,B3,NA())</f>
        <v>68</v>
      </c>
    </row>
    <row r="3" spans="1:8" x14ac:dyDescent="0.25">
      <c r="A3">
        <v>2</v>
      </c>
      <c r="B3">
        <v>68</v>
      </c>
      <c r="C3">
        <f t="shared" ref="C3:C6" si="0">B4-B3</f>
        <v>5</v>
      </c>
      <c r="D3" s="5">
        <f t="shared" ref="D3:D6" si="1">C3/B3</f>
        <v>7.3529411764705885E-2</v>
      </c>
      <c r="E3" s="5"/>
      <c r="F3">
        <f t="shared" ref="F3:F6" si="2">A3+0.5</f>
        <v>2.5</v>
      </c>
      <c r="G3" s="2">
        <f t="shared" ref="G3:G6" si="3">IF(C3&gt;0,B4,NA())</f>
        <v>73</v>
      </c>
      <c r="H3" s="2" t="e">
        <f t="shared" ref="H3:H6" si="4">IF(C3&lt;0,B4,NA())</f>
        <v>#N/A</v>
      </c>
    </row>
    <row r="4" spans="1:8" x14ac:dyDescent="0.25">
      <c r="A4">
        <v>3</v>
      </c>
      <c r="B4">
        <v>73</v>
      </c>
      <c r="C4">
        <f t="shared" si="0"/>
        <v>-11</v>
      </c>
      <c r="D4" s="5">
        <f t="shared" si="1"/>
        <v>-0.15068493150684931</v>
      </c>
      <c r="E4" s="5"/>
      <c r="F4">
        <f t="shared" si="2"/>
        <v>3.5</v>
      </c>
      <c r="G4" s="2" t="e">
        <f t="shared" si="3"/>
        <v>#N/A</v>
      </c>
      <c r="H4" s="2">
        <f t="shared" si="4"/>
        <v>62</v>
      </c>
    </row>
    <row r="5" spans="1:8" x14ac:dyDescent="0.25">
      <c r="A5">
        <v>4</v>
      </c>
      <c r="B5">
        <v>62</v>
      </c>
      <c r="C5">
        <f t="shared" si="0"/>
        <v>19</v>
      </c>
      <c r="D5" s="5">
        <f t="shared" si="1"/>
        <v>0.30645161290322581</v>
      </c>
      <c r="E5" s="5"/>
      <c r="F5">
        <f t="shared" si="2"/>
        <v>4.5</v>
      </c>
      <c r="G5" s="2">
        <f t="shared" si="3"/>
        <v>81</v>
      </c>
      <c r="H5" s="2" t="e">
        <f t="shared" si="4"/>
        <v>#N/A</v>
      </c>
    </row>
    <row r="6" spans="1:8" x14ac:dyDescent="0.25">
      <c r="A6">
        <v>5</v>
      </c>
      <c r="B6">
        <v>81</v>
      </c>
      <c r="C6">
        <f t="shared" si="0"/>
        <v>-32</v>
      </c>
      <c r="D6" s="5">
        <f t="shared" si="1"/>
        <v>-0.39506172839506171</v>
      </c>
      <c r="E6" s="5"/>
      <c r="F6">
        <f t="shared" si="2"/>
        <v>5.5</v>
      </c>
      <c r="G6" s="2" t="e">
        <f t="shared" si="3"/>
        <v>#N/A</v>
      </c>
      <c r="H6" s="2">
        <f t="shared" si="4"/>
        <v>49</v>
      </c>
    </row>
    <row r="7" spans="1:8" x14ac:dyDescent="0.25">
      <c r="A7">
        <v>6</v>
      </c>
      <c r="B7">
        <v>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D926-1DFE-4644-B6D3-98A5566874DD}">
  <sheetPr codeName="Sheet5"/>
  <dimension ref="A1:C13"/>
  <sheetViews>
    <sheetView workbookViewId="0"/>
  </sheetViews>
  <sheetFormatPr defaultRowHeight="15" x14ac:dyDescent="0.25"/>
  <cols>
    <col min="1" max="1" width="10.7109375" bestFit="1" customWidth="1"/>
  </cols>
  <sheetData>
    <row r="1" spans="1:3" x14ac:dyDescent="0.25">
      <c r="A1" t="s">
        <v>0</v>
      </c>
      <c r="B1" t="s">
        <v>10</v>
      </c>
      <c r="C1" t="s">
        <v>11</v>
      </c>
    </row>
    <row r="2" spans="1:3" x14ac:dyDescent="0.25">
      <c r="A2" s="3">
        <v>44227</v>
      </c>
      <c r="B2">
        <v>80</v>
      </c>
      <c r="C2">
        <f ca="1">ROUND(B2/RANDBETWEEN(15,30),0)</f>
        <v>4</v>
      </c>
    </row>
    <row r="3" spans="1:3" x14ac:dyDescent="0.25">
      <c r="A3" s="3">
        <v>44255</v>
      </c>
      <c r="B3">
        <f ca="1">ROUND(B2*(1+RANDBETWEEN(50,100)/1000),0)</f>
        <v>86</v>
      </c>
      <c r="C3">
        <f t="shared" ref="C3:C13" ca="1" si="0">ROUND(B3/RANDBETWEEN(15,30),0)</f>
        <v>3</v>
      </c>
    </row>
    <row r="4" spans="1:3" x14ac:dyDescent="0.25">
      <c r="A4" s="3">
        <v>44286</v>
      </c>
      <c r="B4">
        <f t="shared" ref="B4:B13" ca="1" si="1">ROUND(B3*(1+RANDBETWEEN(50,100)/1000),0)</f>
        <v>94</v>
      </c>
      <c r="C4">
        <f t="shared" ca="1" si="0"/>
        <v>3</v>
      </c>
    </row>
    <row r="5" spans="1:3" x14ac:dyDescent="0.25">
      <c r="A5" s="3">
        <v>44316</v>
      </c>
      <c r="B5">
        <f t="shared" ca="1" si="1"/>
        <v>102</v>
      </c>
      <c r="C5">
        <f t="shared" ca="1" si="0"/>
        <v>5</v>
      </c>
    </row>
    <row r="6" spans="1:3" x14ac:dyDescent="0.25">
      <c r="A6" s="3">
        <v>44347</v>
      </c>
      <c r="B6">
        <f t="shared" ca="1" si="1"/>
        <v>109</v>
      </c>
      <c r="C6">
        <f t="shared" ca="1" si="0"/>
        <v>5</v>
      </c>
    </row>
    <row r="7" spans="1:3" x14ac:dyDescent="0.25">
      <c r="A7" s="3">
        <v>44377</v>
      </c>
      <c r="B7">
        <f t="shared" ca="1" si="1"/>
        <v>116</v>
      </c>
      <c r="C7">
        <f t="shared" ca="1" si="0"/>
        <v>5</v>
      </c>
    </row>
    <row r="8" spans="1:3" x14ac:dyDescent="0.25">
      <c r="A8" s="3">
        <v>44408</v>
      </c>
      <c r="B8">
        <f t="shared" ca="1" si="1"/>
        <v>127</v>
      </c>
      <c r="C8">
        <f t="shared" ca="1" si="0"/>
        <v>6</v>
      </c>
    </row>
    <row r="9" spans="1:3" x14ac:dyDescent="0.25">
      <c r="A9" s="3">
        <v>44439</v>
      </c>
      <c r="B9">
        <f t="shared" ca="1" si="1"/>
        <v>136</v>
      </c>
      <c r="C9">
        <f t="shared" ca="1" si="0"/>
        <v>5</v>
      </c>
    </row>
    <row r="10" spans="1:3" x14ac:dyDescent="0.25">
      <c r="A10" s="3">
        <v>44469</v>
      </c>
      <c r="B10">
        <f t="shared" ca="1" si="1"/>
        <v>149</v>
      </c>
      <c r="C10">
        <f t="shared" ca="1" si="0"/>
        <v>7</v>
      </c>
    </row>
    <row r="11" spans="1:3" x14ac:dyDescent="0.25">
      <c r="A11" s="3">
        <v>44500</v>
      </c>
      <c r="B11">
        <f t="shared" ca="1" si="1"/>
        <v>159</v>
      </c>
      <c r="C11">
        <f t="shared" ca="1" si="0"/>
        <v>7</v>
      </c>
    </row>
    <row r="12" spans="1:3" x14ac:dyDescent="0.25">
      <c r="A12" s="3">
        <v>44530</v>
      </c>
      <c r="B12">
        <f t="shared" ca="1" si="1"/>
        <v>169</v>
      </c>
      <c r="C12">
        <f t="shared" ca="1" si="0"/>
        <v>7</v>
      </c>
    </row>
    <row r="13" spans="1:3" x14ac:dyDescent="0.25">
      <c r="A13" s="3">
        <v>44561</v>
      </c>
      <c r="B13">
        <f t="shared" ca="1" si="1"/>
        <v>182</v>
      </c>
      <c r="C13">
        <f t="shared" ca="1" si="0"/>
        <v>10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01DB-8040-436A-A204-FFA041312474}">
  <sheetPr codeName="Sheet6"/>
  <dimension ref="A1:C13"/>
  <sheetViews>
    <sheetView workbookViewId="0"/>
  </sheetViews>
  <sheetFormatPr defaultRowHeight="15" x14ac:dyDescent="0.25"/>
  <cols>
    <col min="1" max="1" width="10.7109375" bestFit="1" customWidth="1"/>
  </cols>
  <sheetData>
    <row r="1" spans="1:3" x14ac:dyDescent="0.25">
      <c r="A1" t="s">
        <v>0</v>
      </c>
      <c r="B1" t="s">
        <v>10</v>
      </c>
      <c r="C1" t="s">
        <v>11</v>
      </c>
    </row>
    <row r="2" spans="1:3" x14ac:dyDescent="0.25">
      <c r="A2" s="3">
        <v>44227</v>
      </c>
      <c r="B2">
        <v>80</v>
      </c>
      <c r="C2">
        <f ca="1">ROUND(B2/RANDBETWEEN(15,30),0)</f>
        <v>4</v>
      </c>
    </row>
    <row r="3" spans="1:3" x14ac:dyDescent="0.25">
      <c r="A3" s="3">
        <v>44255</v>
      </c>
      <c r="B3">
        <f ca="1">ROUND(B2*(1+RANDBETWEEN(50,100)/1000),0)</f>
        <v>85</v>
      </c>
      <c r="C3">
        <f t="shared" ref="C3:C13" ca="1" si="0">ROUND(B3/RANDBETWEEN(15,30),0)</f>
        <v>5</v>
      </c>
    </row>
    <row r="4" spans="1:3" x14ac:dyDescent="0.25">
      <c r="A4" s="3">
        <v>44286</v>
      </c>
      <c r="B4">
        <f t="shared" ref="B4:B13" ca="1" si="1">ROUND(B3*(1+RANDBETWEEN(50,100)/1000),0)</f>
        <v>93</v>
      </c>
      <c r="C4">
        <f t="shared" ca="1" si="0"/>
        <v>4</v>
      </c>
    </row>
    <row r="5" spans="1:3" x14ac:dyDescent="0.25">
      <c r="A5" s="3">
        <v>44316</v>
      </c>
      <c r="B5">
        <f t="shared" ca="1" si="1"/>
        <v>102</v>
      </c>
      <c r="C5">
        <f t="shared" ca="1" si="0"/>
        <v>6</v>
      </c>
    </row>
    <row r="6" spans="1:3" x14ac:dyDescent="0.25">
      <c r="A6" s="3">
        <v>44347</v>
      </c>
      <c r="B6">
        <f t="shared" ca="1" si="1"/>
        <v>110</v>
      </c>
      <c r="C6">
        <f t="shared" ca="1" si="0"/>
        <v>4</v>
      </c>
    </row>
    <row r="7" spans="1:3" x14ac:dyDescent="0.25">
      <c r="A7" s="3">
        <v>44377</v>
      </c>
      <c r="B7">
        <f t="shared" ca="1" si="1"/>
        <v>119</v>
      </c>
      <c r="C7">
        <f t="shared" ca="1" si="0"/>
        <v>8</v>
      </c>
    </row>
    <row r="8" spans="1:3" x14ac:dyDescent="0.25">
      <c r="A8" s="3">
        <v>44408</v>
      </c>
      <c r="B8">
        <f t="shared" ca="1" si="1"/>
        <v>127</v>
      </c>
      <c r="C8">
        <f t="shared" ca="1" si="0"/>
        <v>5</v>
      </c>
    </row>
    <row r="9" spans="1:3" x14ac:dyDescent="0.25">
      <c r="A9" s="3">
        <v>44439</v>
      </c>
      <c r="B9">
        <f t="shared" ca="1" si="1"/>
        <v>136</v>
      </c>
      <c r="C9">
        <f t="shared" ca="1" si="0"/>
        <v>8</v>
      </c>
    </row>
    <row r="10" spans="1:3" x14ac:dyDescent="0.25">
      <c r="A10" s="3">
        <v>44469</v>
      </c>
      <c r="B10">
        <f t="shared" ca="1" si="1"/>
        <v>144</v>
      </c>
      <c r="C10">
        <f t="shared" ca="1" si="0"/>
        <v>6</v>
      </c>
    </row>
    <row r="11" spans="1:3" x14ac:dyDescent="0.25">
      <c r="A11" s="3">
        <v>44500</v>
      </c>
      <c r="B11">
        <f t="shared" ca="1" si="1"/>
        <v>151</v>
      </c>
      <c r="C11">
        <f t="shared" ca="1" si="0"/>
        <v>7</v>
      </c>
    </row>
    <row r="12" spans="1:3" x14ac:dyDescent="0.25">
      <c r="A12" s="3">
        <v>44530</v>
      </c>
      <c r="B12">
        <f t="shared" ca="1" si="1"/>
        <v>162</v>
      </c>
      <c r="C12">
        <f t="shared" ca="1" si="0"/>
        <v>7</v>
      </c>
    </row>
    <row r="13" spans="1:3" x14ac:dyDescent="0.25">
      <c r="A13" s="3">
        <v>44561</v>
      </c>
      <c r="B13">
        <f t="shared" ca="1" si="1"/>
        <v>176</v>
      </c>
      <c r="C13">
        <f t="shared" ca="1" si="0"/>
        <v>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BFF8-5D05-4588-BF27-10BB34239EE8}">
  <sheetPr codeName="Sheet7"/>
  <dimension ref="A1:D13"/>
  <sheetViews>
    <sheetView workbookViewId="0"/>
  </sheetViews>
  <sheetFormatPr defaultRowHeight="15" x14ac:dyDescent="0.25"/>
  <sheetData>
    <row r="1" spans="1:4" x14ac:dyDescent="0.25">
      <c r="A1" t="s">
        <v>12</v>
      </c>
      <c r="B1" t="s">
        <v>13</v>
      </c>
      <c r="C1" t="s">
        <v>14</v>
      </c>
    </row>
    <row r="2" spans="1:4" x14ac:dyDescent="0.25">
      <c r="A2">
        <v>1</v>
      </c>
      <c r="B2">
        <v>327</v>
      </c>
      <c r="C2">
        <v>281</v>
      </c>
      <c r="D2">
        <f>B2-C2</f>
        <v>46</v>
      </c>
    </row>
    <row r="3" spans="1:4" x14ac:dyDescent="0.25">
      <c r="A3">
        <v>2</v>
      </c>
      <c r="B3">
        <v>449</v>
      </c>
      <c r="C3">
        <v>257</v>
      </c>
      <c r="D3">
        <f t="shared" ref="D3:D13" si="0">B3-C3</f>
        <v>192</v>
      </c>
    </row>
    <row r="4" spans="1:4" x14ac:dyDescent="0.25">
      <c r="A4">
        <v>3</v>
      </c>
      <c r="B4">
        <v>401</v>
      </c>
      <c r="C4">
        <v>429</v>
      </c>
      <c r="D4">
        <f t="shared" si="0"/>
        <v>-28</v>
      </c>
    </row>
    <row r="5" spans="1:4" x14ac:dyDescent="0.25">
      <c r="A5">
        <v>4</v>
      </c>
      <c r="B5">
        <v>386</v>
      </c>
      <c r="C5">
        <v>429</v>
      </c>
      <c r="D5">
        <f t="shared" si="0"/>
        <v>-43</v>
      </c>
    </row>
    <row r="6" spans="1:4" x14ac:dyDescent="0.25">
      <c r="A6">
        <v>5</v>
      </c>
      <c r="B6">
        <v>387</v>
      </c>
      <c r="C6">
        <v>476</v>
      </c>
      <c r="D6">
        <f t="shared" si="0"/>
        <v>-89</v>
      </c>
    </row>
    <row r="7" spans="1:4" x14ac:dyDescent="0.25">
      <c r="A7">
        <v>6</v>
      </c>
      <c r="B7">
        <v>273</v>
      </c>
      <c r="C7">
        <v>425</v>
      </c>
      <c r="D7">
        <f t="shared" si="0"/>
        <v>-152</v>
      </c>
    </row>
    <row r="8" spans="1:4" x14ac:dyDescent="0.25">
      <c r="A8">
        <v>7</v>
      </c>
      <c r="B8">
        <v>422</v>
      </c>
      <c r="C8">
        <v>368</v>
      </c>
      <c r="D8">
        <f t="shared" si="0"/>
        <v>54</v>
      </c>
    </row>
    <row r="9" spans="1:4" x14ac:dyDescent="0.25">
      <c r="A9">
        <v>8</v>
      </c>
      <c r="B9">
        <v>293</v>
      </c>
      <c r="C9">
        <v>375</v>
      </c>
      <c r="D9">
        <f t="shared" si="0"/>
        <v>-82</v>
      </c>
    </row>
    <row r="10" spans="1:4" x14ac:dyDescent="0.25">
      <c r="A10">
        <v>9</v>
      </c>
      <c r="B10">
        <v>297</v>
      </c>
      <c r="C10">
        <v>258</v>
      </c>
      <c r="D10">
        <f t="shared" si="0"/>
        <v>39</v>
      </c>
    </row>
    <row r="11" spans="1:4" x14ac:dyDescent="0.25">
      <c r="A11">
        <v>10</v>
      </c>
      <c r="B11">
        <v>321</v>
      </c>
      <c r="C11">
        <v>304</v>
      </c>
      <c r="D11">
        <f t="shared" si="0"/>
        <v>17</v>
      </c>
    </row>
    <row r="12" spans="1:4" x14ac:dyDescent="0.25">
      <c r="A12">
        <v>11</v>
      </c>
      <c r="B12">
        <v>447</v>
      </c>
      <c r="C12">
        <v>295</v>
      </c>
      <c r="D12">
        <f t="shared" si="0"/>
        <v>152</v>
      </c>
    </row>
    <row r="13" spans="1:4" x14ac:dyDescent="0.25">
      <c r="A13">
        <v>12</v>
      </c>
      <c r="B13">
        <v>473</v>
      </c>
      <c r="C13">
        <v>343</v>
      </c>
      <c r="D13">
        <f t="shared" si="0"/>
        <v>130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CCA4-A8D0-42D9-B3EF-40BFB470C6FC}">
  <sheetPr codeName="Sheet8"/>
  <dimension ref="B1:G16"/>
  <sheetViews>
    <sheetView workbookViewId="0"/>
  </sheetViews>
  <sheetFormatPr defaultRowHeight="15" x14ac:dyDescent="0.25"/>
  <sheetData>
    <row r="1" spans="2:7" x14ac:dyDescent="0.25">
      <c r="E1" t="s">
        <v>15</v>
      </c>
      <c r="F1">
        <v>1</v>
      </c>
      <c r="G1">
        <v>2</v>
      </c>
    </row>
    <row r="2" spans="2:7" x14ac:dyDescent="0.25">
      <c r="B2">
        <v>84</v>
      </c>
      <c r="C2">
        <v>32</v>
      </c>
      <c r="E2" t="s">
        <v>16</v>
      </c>
      <c r="F2">
        <f>MIN(B2:B16)</f>
        <v>5</v>
      </c>
      <c r="G2">
        <f>MIN(C2:C16)</f>
        <v>8</v>
      </c>
    </row>
    <row r="3" spans="2:7" x14ac:dyDescent="0.25">
      <c r="B3">
        <v>39</v>
      </c>
      <c r="C3">
        <v>20</v>
      </c>
      <c r="E3" t="s">
        <v>17</v>
      </c>
      <c r="F3">
        <f>_xlfn.QUARTILE.EXC(B2:B16,1)</f>
        <v>15</v>
      </c>
      <c r="G3">
        <f>_xlfn.QUARTILE.EXC(C2:C16,1)</f>
        <v>18</v>
      </c>
    </row>
    <row r="4" spans="2:7" x14ac:dyDescent="0.25">
      <c r="B4">
        <v>14</v>
      </c>
      <c r="C4">
        <v>66</v>
      </c>
      <c r="E4" t="s">
        <v>18</v>
      </c>
      <c r="F4">
        <f>MEDIAN(B2:B31)</f>
        <v>33</v>
      </c>
      <c r="G4">
        <f>MEDIAN(C2:C31)</f>
        <v>26</v>
      </c>
    </row>
    <row r="5" spans="2:7" x14ac:dyDescent="0.25">
      <c r="B5">
        <v>43</v>
      </c>
      <c r="C5">
        <v>19</v>
      </c>
      <c r="E5" t="s">
        <v>19</v>
      </c>
      <c r="F5">
        <f>_xlfn.QUARTILE.EXC(B2:B16,3)</f>
        <v>46</v>
      </c>
      <c r="G5">
        <f>_xlfn.QUARTILE.EXC(C2:C16,3)</f>
        <v>60</v>
      </c>
    </row>
    <row r="6" spans="2:7" x14ac:dyDescent="0.25">
      <c r="B6">
        <v>15</v>
      </c>
      <c r="C6">
        <v>8</v>
      </c>
      <c r="E6" t="s">
        <v>20</v>
      </c>
      <c r="F6">
        <f>MAX(B2:B16)</f>
        <v>98</v>
      </c>
      <c r="G6">
        <f>MAX(C2:C16)</f>
        <v>75</v>
      </c>
    </row>
    <row r="7" spans="2:7" x14ac:dyDescent="0.25">
      <c r="B7">
        <v>35</v>
      </c>
      <c r="C7">
        <v>26</v>
      </c>
      <c r="E7" t="s">
        <v>21</v>
      </c>
      <c r="F7">
        <f>AVERAGE(B2:B16)</f>
        <v>35.666666666666664</v>
      </c>
      <c r="G7">
        <f>AVERAGE(C2:C16)</f>
        <v>34.4</v>
      </c>
    </row>
    <row r="8" spans="2:7" x14ac:dyDescent="0.25">
      <c r="B8">
        <v>12</v>
      </c>
      <c r="C8">
        <v>60</v>
      </c>
      <c r="F8">
        <f t="array" ref="F8">MAX((B2:B16&lt;_xlfn.QUARTILE.EXC(B2:B16,3)+((_xlfn.QUARTILE.EXC(B2:B16,3)-_xlfn.QUARTILE.EXC(B2:B16,1))*1.5))*(B2:B16))</f>
        <v>84</v>
      </c>
    </row>
    <row r="9" spans="2:7" x14ac:dyDescent="0.25">
      <c r="B9">
        <v>23</v>
      </c>
      <c r="C9">
        <v>18</v>
      </c>
    </row>
    <row r="10" spans="2:7" x14ac:dyDescent="0.25">
      <c r="B10">
        <v>33</v>
      </c>
      <c r="C10">
        <v>12</v>
      </c>
    </row>
    <row r="11" spans="2:7" x14ac:dyDescent="0.25">
      <c r="B11">
        <v>46</v>
      </c>
      <c r="C11">
        <v>8</v>
      </c>
    </row>
    <row r="12" spans="2:7" x14ac:dyDescent="0.25">
      <c r="B12">
        <v>5</v>
      </c>
      <c r="C12">
        <v>26</v>
      </c>
    </row>
    <row r="13" spans="2:7" x14ac:dyDescent="0.25">
      <c r="B13">
        <v>15</v>
      </c>
      <c r="C13">
        <v>75</v>
      </c>
    </row>
    <row r="14" spans="2:7" x14ac:dyDescent="0.25">
      <c r="B14">
        <v>26</v>
      </c>
      <c r="C14">
        <v>53</v>
      </c>
    </row>
    <row r="15" spans="2:7" x14ac:dyDescent="0.25">
      <c r="B15">
        <v>98</v>
      </c>
      <c r="C15">
        <v>69</v>
      </c>
    </row>
    <row r="16" spans="2:7" x14ac:dyDescent="0.25">
      <c r="B16">
        <v>47</v>
      </c>
      <c r="C16">
        <v>24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FEC8-2F10-40E8-8CFA-665ECCF7D45B}">
  <sheetPr codeName="Sheet9"/>
  <dimension ref="A1:O1083"/>
  <sheetViews>
    <sheetView workbookViewId="0"/>
  </sheetViews>
  <sheetFormatPr defaultRowHeight="15" x14ac:dyDescent="0.25"/>
  <cols>
    <col min="1" max="1" width="10.7109375" bestFit="1" customWidth="1"/>
    <col min="2" max="2" width="9.85546875" bestFit="1" customWidth="1"/>
    <col min="3" max="3" width="7" bestFit="1" customWidth="1"/>
    <col min="10" max="10" width="13.140625" bestFit="1" customWidth="1"/>
    <col min="11" max="11" width="16.28515625" bestFit="1" customWidth="1"/>
    <col min="12" max="13" width="9.85546875" bestFit="1" customWidth="1"/>
    <col min="14" max="14" width="7" bestFit="1" customWidth="1"/>
    <col min="15" max="15" width="11.28515625" bestFit="1" customWidth="1"/>
  </cols>
  <sheetData>
    <row r="1" spans="1:15" x14ac:dyDescent="0.25">
      <c r="A1" t="s">
        <v>22</v>
      </c>
      <c r="B1" t="s">
        <v>23</v>
      </c>
      <c r="C1" t="s">
        <v>24</v>
      </c>
    </row>
    <row r="2" spans="1:15" x14ac:dyDescent="0.25">
      <c r="A2" s="6">
        <v>44197</v>
      </c>
      <c r="B2" t="s">
        <v>28</v>
      </c>
      <c r="C2" s="2">
        <v>971</v>
      </c>
    </row>
    <row r="3" spans="1:15" x14ac:dyDescent="0.25">
      <c r="A3" s="6">
        <v>44383</v>
      </c>
      <c r="B3" t="s">
        <v>27</v>
      </c>
      <c r="C3" s="2">
        <v>1042</v>
      </c>
    </row>
    <row r="4" spans="1:15" x14ac:dyDescent="0.25">
      <c r="A4" s="6">
        <v>44397</v>
      </c>
      <c r="B4" t="s">
        <v>26</v>
      </c>
      <c r="C4" s="2">
        <v>856</v>
      </c>
    </row>
    <row r="5" spans="1:15" x14ac:dyDescent="0.25">
      <c r="A5" s="6">
        <v>44216</v>
      </c>
      <c r="B5" t="s">
        <v>26</v>
      </c>
      <c r="C5" s="2">
        <v>1060</v>
      </c>
    </row>
    <row r="6" spans="1:15" x14ac:dyDescent="0.25">
      <c r="A6" s="6">
        <v>44424</v>
      </c>
      <c r="B6" t="s">
        <v>25</v>
      </c>
      <c r="C6" s="2">
        <v>1123</v>
      </c>
    </row>
    <row r="7" spans="1:15" x14ac:dyDescent="0.25">
      <c r="A7" s="6">
        <v>44539</v>
      </c>
      <c r="B7" t="s">
        <v>25</v>
      </c>
      <c r="C7" s="2">
        <v>1060</v>
      </c>
    </row>
    <row r="8" spans="1:15" x14ac:dyDescent="0.25">
      <c r="A8" s="6">
        <v>44248</v>
      </c>
      <c r="B8" t="s">
        <v>27</v>
      </c>
      <c r="C8" s="2">
        <v>1198</v>
      </c>
    </row>
    <row r="9" spans="1:15" x14ac:dyDescent="0.25">
      <c r="A9" s="6">
        <v>44340</v>
      </c>
      <c r="B9" t="s">
        <v>27</v>
      </c>
      <c r="C9" s="2">
        <v>1137</v>
      </c>
    </row>
    <row r="10" spans="1:15" x14ac:dyDescent="0.25">
      <c r="A10" s="6">
        <v>44369</v>
      </c>
      <c r="B10" t="s">
        <v>27</v>
      </c>
      <c r="C10" s="2">
        <v>1036</v>
      </c>
    </row>
    <row r="11" spans="1:15" x14ac:dyDescent="0.25">
      <c r="A11" s="6">
        <v>44321</v>
      </c>
      <c r="B11" t="s">
        <v>27</v>
      </c>
      <c r="C11" s="2">
        <v>1141</v>
      </c>
    </row>
    <row r="12" spans="1:15" x14ac:dyDescent="0.25">
      <c r="A12" s="6">
        <v>44227</v>
      </c>
      <c r="B12" t="s">
        <v>28</v>
      </c>
      <c r="C12" s="2">
        <v>1126</v>
      </c>
      <c r="J12" s="7" t="s">
        <v>31</v>
      </c>
      <c r="K12" s="7" t="s">
        <v>32</v>
      </c>
    </row>
    <row r="13" spans="1:15" x14ac:dyDescent="0.25">
      <c r="A13" s="6">
        <v>44209</v>
      </c>
      <c r="B13" t="s">
        <v>27</v>
      </c>
      <c r="C13" s="2">
        <v>1085</v>
      </c>
      <c r="J13" s="7" t="s">
        <v>29</v>
      </c>
      <c r="K13" t="s">
        <v>27</v>
      </c>
      <c r="L13" t="s">
        <v>25</v>
      </c>
      <c r="M13" t="s">
        <v>26</v>
      </c>
      <c r="N13" t="s">
        <v>28</v>
      </c>
      <c r="O13" t="s">
        <v>30</v>
      </c>
    </row>
    <row r="14" spans="1:15" x14ac:dyDescent="0.25">
      <c r="A14" s="6">
        <v>44410</v>
      </c>
      <c r="B14" t="s">
        <v>26</v>
      </c>
      <c r="C14" s="2">
        <v>1138</v>
      </c>
      <c r="J14" s="8" t="s">
        <v>33</v>
      </c>
      <c r="K14" s="9">
        <v>85248</v>
      </c>
      <c r="L14" s="9">
        <v>70867</v>
      </c>
      <c r="M14" s="9">
        <v>59771</v>
      </c>
      <c r="N14" s="9">
        <v>76037</v>
      </c>
      <c r="O14" s="9">
        <v>291923</v>
      </c>
    </row>
    <row r="15" spans="1:15" x14ac:dyDescent="0.25">
      <c r="A15" s="6">
        <v>44385</v>
      </c>
      <c r="B15" t="s">
        <v>25</v>
      </c>
      <c r="C15" s="2">
        <v>1114</v>
      </c>
      <c r="J15" s="8" t="s">
        <v>34</v>
      </c>
      <c r="K15" s="9">
        <v>49801</v>
      </c>
      <c r="L15" s="9">
        <v>55574</v>
      </c>
      <c r="M15" s="9">
        <v>50959</v>
      </c>
      <c r="N15" s="9">
        <v>64826</v>
      </c>
      <c r="O15" s="9">
        <v>221160</v>
      </c>
    </row>
    <row r="16" spans="1:15" x14ac:dyDescent="0.25">
      <c r="A16" s="6">
        <v>44512</v>
      </c>
      <c r="B16" t="s">
        <v>27</v>
      </c>
      <c r="C16" s="2">
        <v>1146</v>
      </c>
      <c r="J16" s="8" t="s">
        <v>35</v>
      </c>
      <c r="K16" s="9">
        <v>69001</v>
      </c>
      <c r="L16" s="9">
        <v>81493</v>
      </c>
      <c r="M16" s="9">
        <v>78946</v>
      </c>
      <c r="N16" s="9">
        <v>67938</v>
      </c>
      <c r="O16" s="9">
        <v>297378</v>
      </c>
    </row>
    <row r="17" spans="1:15" x14ac:dyDescent="0.25">
      <c r="A17" s="6">
        <v>44535</v>
      </c>
      <c r="B17" t="s">
        <v>27</v>
      </c>
      <c r="C17" s="2">
        <v>983</v>
      </c>
      <c r="J17" s="8" t="s">
        <v>36</v>
      </c>
      <c r="K17" s="9">
        <v>63659</v>
      </c>
      <c r="L17" s="9">
        <v>70658</v>
      </c>
      <c r="M17" s="9">
        <v>59757</v>
      </c>
      <c r="N17" s="9">
        <v>81061</v>
      </c>
      <c r="O17" s="9">
        <v>275135</v>
      </c>
    </row>
    <row r="18" spans="1:15" x14ac:dyDescent="0.25">
      <c r="A18" s="6">
        <v>44314</v>
      </c>
      <c r="B18" t="s">
        <v>28</v>
      </c>
      <c r="C18" s="2">
        <v>955</v>
      </c>
      <c r="J18" s="8" t="s">
        <v>30</v>
      </c>
      <c r="K18" s="9">
        <v>267709</v>
      </c>
      <c r="L18" s="9">
        <v>278592</v>
      </c>
      <c r="M18" s="9">
        <v>249433</v>
      </c>
      <c r="N18" s="9">
        <v>289862</v>
      </c>
      <c r="O18" s="9">
        <v>1085596</v>
      </c>
    </row>
    <row r="19" spans="1:15" x14ac:dyDescent="0.25">
      <c r="A19" s="6">
        <v>44228</v>
      </c>
      <c r="B19" t="s">
        <v>28</v>
      </c>
      <c r="C19" s="2">
        <v>1151</v>
      </c>
    </row>
    <row r="20" spans="1:15" x14ac:dyDescent="0.25">
      <c r="A20" s="6">
        <v>44438</v>
      </c>
      <c r="B20" t="s">
        <v>25</v>
      </c>
      <c r="C20" s="2">
        <v>863</v>
      </c>
    </row>
    <row r="21" spans="1:15" x14ac:dyDescent="0.25">
      <c r="A21" s="6">
        <v>44200</v>
      </c>
      <c r="B21" t="s">
        <v>25</v>
      </c>
      <c r="C21" s="2">
        <v>1107</v>
      </c>
    </row>
    <row r="22" spans="1:15" x14ac:dyDescent="0.25">
      <c r="A22" s="6">
        <v>44244</v>
      </c>
      <c r="B22" t="s">
        <v>28</v>
      </c>
      <c r="C22" s="2">
        <v>1177</v>
      </c>
    </row>
    <row r="23" spans="1:15" x14ac:dyDescent="0.25">
      <c r="A23" s="6">
        <v>44214</v>
      </c>
      <c r="B23" t="s">
        <v>25</v>
      </c>
      <c r="C23" s="2">
        <v>1108</v>
      </c>
    </row>
    <row r="24" spans="1:15" x14ac:dyDescent="0.25">
      <c r="A24" s="6">
        <v>44433</v>
      </c>
      <c r="B24" t="s">
        <v>27</v>
      </c>
      <c r="C24" s="2">
        <v>997</v>
      </c>
    </row>
    <row r="25" spans="1:15" x14ac:dyDescent="0.25">
      <c r="A25" s="6">
        <v>44285</v>
      </c>
      <c r="B25" t="s">
        <v>25</v>
      </c>
      <c r="C25" s="2">
        <v>868</v>
      </c>
    </row>
    <row r="26" spans="1:15" x14ac:dyDescent="0.25">
      <c r="A26" s="6">
        <v>44456</v>
      </c>
      <c r="B26" t="s">
        <v>27</v>
      </c>
      <c r="C26" s="2">
        <v>1119</v>
      </c>
    </row>
    <row r="27" spans="1:15" x14ac:dyDescent="0.25">
      <c r="A27" s="6">
        <v>44344</v>
      </c>
      <c r="B27" t="s">
        <v>25</v>
      </c>
      <c r="C27" s="2">
        <v>1004</v>
      </c>
    </row>
    <row r="28" spans="1:15" x14ac:dyDescent="0.25">
      <c r="A28" s="6">
        <v>44365</v>
      </c>
      <c r="B28" t="s">
        <v>26</v>
      </c>
      <c r="C28" s="2">
        <v>1187</v>
      </c>
    </row>
    <row r="29" spans="1:15" x14ac:dyDescent="0.25">
      <c r="A29" s="6">
        <v>44208</v>
      </c>
      <c r="B29" t="s">
        <v>27</v>
      </c>
      <c r="C29" s="2">
        <v>812</v>
      </c>
    </row>
    <row r="30" spans="1:15" x14ac:dyDescent="0.25">
      <c r="A30" s="6">
        <v>44267</v>
      </c>
      <c r="B30" t="s">
        <v>25</v>
      </c>
      <c r="C30" s="2">
        <v>883</v>
      </c>
    </row>
    <row r="31" spans="1:15" x14ac:dyDescent="0.25">
      <c r="A31" s="6">
        <v>44361</v>
      </c>
      <c r="B31" t="s">
        <v>27</v>
      </c>
      <c r="C31" s="2">
        <v>1196</v>
      </c>
    </row>
    <row r="32" spans="1:15" x14ac:dyDescent="0.25">
      <c r="A32" s="6">
        <v>44421</v>
      </c>
      <c r="B32" t="s">
        <v>26</v>
      </c>
      <c r="C32" s="2">
        <v>1132</v>
      </c>
    </row>
    <row r="33" spans="1:3" x14ac:dyDescent="0.25">
      <c r="A33" s="6">
        <v>44229</v>
      </c>
      <c r="B33" t="s">
        <v>27</v>
      </c>
      <c r="C33" s="2">
        <v>1119</v>
      </c>
    </row>
    <row r="34" spans="1:3" x14ac:dyDescent="0.25">
      <c r="A34" s="6">
        <v>44481</v>
      </c>
      <c r="B34" t="s">
        <v>26</v>
      </c>
      <c r="C34" s="2">
        <v>1066</v>
      </c>
    </row>
    <row r="35" spans="1:3" x14ac:dyDescent="0.25">
      <c r="A35" s="6">
        <v>44501</v>
      </c>
      <c r="B35" t="s">
        <v>25</v>
      </c>
      <c r="C35" s="2">
        <v>993</v>
      </c>
    </row>
    <row r="36" spans="1:3" x14ac:dyDescent="0.25">
      <c r="A36" s="6">
        <v>44213</v>
      </c>
      <c r="B36" t="s">
        <v>27</v>
      </c>
      <c r="C36" s="2">
        <v>1107</v>
      </c>
    </row>
    <row r="37" spans="1:3" x14ac:dyDescent="0.25">
      <c r="A37" s="6">
        <v>44241</v>
      </c>
      <c r="B37" t="s">
        <v>28</v>
      </c>
      <c r="C37" s="2">
        <v>812</v>
      </c>
    </row>
    <row r="38" spans="1:3" x14ac:dyDescent="0.25">
      <c r="A38" s="6">
        <v>44324</v>
      </c>
      <c r="B38" t="s">
        <v>25</v>
      </c>
      <c r="C38" s="2">
        <v>1018</v>
      </c>
    </row>
    <row r="39" spans="1:3" x14ac:dyDescent="0.25">
      <c r="A39" s="6">
        <v>44254</v>
      </c>
      <c r="B39" t="s">
        <v>25</v>
      </c>
      <c r="C39" s="2">
        <v>1021</v>
      </c>
    </row>
    <row r="40" spans="1:3" x14ac:dyDescent="0.25">
      <c r="A40" s="6">
        <v>44257</v>
      </c>
      <c r="B40" t="s">
        <v>28</v>
      </c>
      <c r="C40" s="2">
        <v>1113</v>
      </c>
    </row>
    <row r="41" spans="1:3" x14ac:dyDescent="0.25">
      <c r="A41" s="6">
        <v>44509</v>
      </c>
      <c r="B41" t="s">
        <v>26</v>
      </c>
      <c r="C41" s="2">
        <v>866</v>
      </c>
    </row>
    <row r="42" spans="1:3" x14ac:dyDescent="0.25">
      <c r="A42" s="6">
        <v>44494</v>
      </c>
      <c r="B42" t="s">
        <v>26</v>
      </c>
      <c r="C42" s="2">
        <v>1041</v>
      </c>
    </row>
    <row r="43" spans="1:3" x14ac:dyDescent="0.25">
      <c r="A43" s="6">
        <v>44358</v>
      </c>
      <c r="B43" t="s">
        <v>27</v>
      </c>
      <c r="C43" s="2">
        <v>1105</v>
      </c>
    </row>
    <row r="44" spans="1:3" x14ac:dyDescent="0.25">
      <c r="A44" s="6">
        <v>44237</v>
      </c>
      <c r="B44" t="s">
        <v>28</v>
      </c>
      <c r="C44" s="2">
        <v>882</v>
      </c>
    </row>
    <row r="45" spans="1:3" x14ac:dyDescent="0.25">
      <c r="A45" s="6">
        <v>44207</v>
      </c>
      <c r="B45" t="s">
        <v>26</v>
      </c>
      <c r="C45" s="2">
        <v>1098</v>
      </c>
    </row>
    <row r="46" spans="1:3" x14ac:dyDescent="0.25">
      <c r="A46" s="6">
        <v>44408</v>
      </c>
      <c r="B46" t="s">
        <v>28</v>
      </c>
      <c r="C46" s="2">
        <v>969</v>
      </c>
    </row>
    <row r="47" spans="1:3" x14ac:dyDescent="0.25">
      <c r="A47" s="6">
        <v>44540</v>
      </c>
      <c r="B47" t="s">
        <v>25</v>
      </c>
      <c r="C47" s="2">
        <v>828</v>
      </c>
    </row>
    <row r="48" spans="1:3" x14ac:dyDescent="0.25">
      <c r="A48" s="6">
        <v>44226</v>
      </c>
      <c r="B48" t="s">
        <v>26</v>
      </c>
      <c r="C48" s="2">
        <v>871</v>
      </c>
    </row>
    <row r="49" spans="1:3" x14ac:dyDescent="0.25">
      <c r="A49" s="6">
        <v>44348</v>
      </c>
      <c r="B49" t="s">
        <v>25</v>
      </c>
      <c r="C49" s="2">
        <v>954</v>
      </c>
    </row>
    <row r="50" spans="1:3" x14ac:dyDescent="0.25">
      <c r="A50" s="6">
        <v>44538</v>
      </c>
      <c r="B50" t="s">
        <v>25</v>
      </c>
      <c r="C50" s="2">
        <v>996</v>
      </c>
    </row>
    <row r="51" spans="1:3" x14ac:dyDescent="0.25">
      <c r="A51" s="6">
        <v>44217</v>
      </c>
      <c r="B51" t="s">
        <v>26</v>
      </c>
      <c r="C51" s="2">
        <v>1099</v>
      </c>
    </row>
    <row r="52" spans="1:3" x14ac:dyDescent="0.25">
      <c r="A52" s="6">
        <v>44460</v>
      </c>
      <c r="B52" t="s">
        <v>27</v>
      </c>
      <c r="C52" s="2">
        <v>1106</v>
      </c>
    </row>
    <row r="53" spans="1:3" x14ac:dyDescent="0.25">
      <c r="A53" s="6">
        <v>44378</v>
      </c>
      <c r="B53" t="s">
        <v>25</v>
      </c>
      <c r="C53" s="2">
        <v>1121</v>
      </c>
    </row>
    <row r="54" spans="1:3" x14ac:dyDescent="0.25">
      <c r="A54" s="6">
        <v>44483</v>
      </c>
      <c r="B54" t="s">
        <v>26</v>
      </c>
      <c r="C54" s="2">
        <v>1054</v>
      </c>
    </row>
    <row r="55" spans="1:3" x14ac:dyDescent="0.25">
      <c r="A55" s="6">
        <v>44484</v>
      </c>
      <c r="B55" t="s">
        <v>26</v>
      </c>
      <c r="C55" s="2">
        <v>1029</v>
      </c>
    </row>
    <row r="56" spans="1:3" x14ac:dyDescent="0.25">
      <c r="A56" s="6">
        <v>44247</v>
      </c>
      <c r="B56" t="s">
        <v>27</v>
      </c>
      <c r="C56" s="2">
        <v>1124</v>
      </c>
    </row>
    <row r="57" spans="1:3" x14ac:dyDescent="0.25">
      <c r="A57" s="6">
        <v>44445</v>
      </c>
      <c r="B57" t="s">
        <v>27</v>
      </c>
      <c r="C57" s="2">
        <v>822</v>
      </c>
    </row>
    <row r="58" spans="1:3" x14ac:dyDescent="0.25">
      <c r="A58" s="6">
        <v>44303</v>
      </c>
      <c r="B58" t="s">
        <v>26</v>
      </c>
      <c r="C58" s="2">
        <v>928</v>
      </c>
    </row>
    <row r="59" spans="1:3" x14ac:dyDescent="0.25">
      <c r="A59" s="6">
        <v>44559</v>
      </c>
      <c r="B59" t="s">
        <v>27</v>
      </c>
      <c r="C59" s="2">
        <v>1023</v>
      </c>
    </row>
    <row r="60" spans="1:3" x14ac:dyDescent="0.25">
      <c r="A60" s="6">
        <v>44227</v>
      </c>
      <c r="B60" t="s">
        <v>28</v>
      </c>
      <c r="C60" s="2">
        <v>1029</v>
      </c>
    </row>
    <row r="61" spans="1:3" x14ac:dyDescent="0.25">
      <c r="A61" s="6">
        <v>44226</v>
      </c>
      <c r="B61" t="s">
        <v>27</v>
      </c>
      <c r="C61" s="2">
        <v>1181</v>
      </c>
    </row>
    <row r="62" spans="1:3" x14ac:dyDescent="0.25">
      <c r="A62" s="6">
        <v>44245</v>
      </c>
      <c r="B62" t="s">
        <v>25</v>
      </c>
      <c r="C62" s="2">
        <v>1089</v>
      </c>
    </row>
    <row r="63" spans="1:3" x14ac:dyDescent="0.25">
      <c r="A63" s="6">
        <v>44301</v>
      </c>
      <c r="B63" t="s">
        <v>28</v>
      </c>
      <c r="C63" s="2">
        <v>1190</v>
      </c>
    </row>
    <row r="64" spans="1:3" x14ac:dyDescent="0.25">
      <c r="A64" s="6">
        <v>44238</v>
      </c>
      <c r="B64" t="s">
        <v>28</v>
      </c>
      <c r="C64" s="2">
        <v>981</v>
      </c>
    </row>
    <row r="65" spans="1:3" x14ac:dyDescent="0.25">
      <c r="A65" s="6">
        <v>44449</v>
      </c>
      <c r="B65" t="s">
        <v>26</v>
      </c>
      <c r="C65" s="2">
        <v>974</v>
      </c>
    </row>
    <row r="66" spans="1:3" x14ac:dyDescent="0.25">
      <c r="A66" s="6">
        <v>44319</v>
      </c>
      <c r="B66" t="s">
        <v>28</v>
      </c>
      <c r="C66" s="2">
        <v>1049</v>
      </c>
    </row>
    <row r="67" spans="1:3" x14ac:dyDescent="0.25">
      <c r="A67" s="6">
        <v>44521</v>
      </c>
      <c r="B67" t="s">
        <v>26</v>
      </c>
      <c r="C67" s="2">
        <v>904</v>
      </c>
    </row>
    <row r="68" spans="1:3" x14ac:dyDescent="0.25">
      <c r="A68" s="6">
        <v>44489</v>
      </c>
      <c r="B68" t="s">
        <v>28</v>
      </c>
      <c r="C68" s="2">
        <v>946</v>
      </c>
    </row>
    <row r="69" spans="1:3" x14ac:dyDescent="0.25">
      <c r="A69" s="6">
        <v>44481</v>
      </c>
      <c r="B69" t="s">
        <v>25</v>
      </c>
      <c r="C69" s="2">
        <v>961</v>
      </c>
    </row>
    <row r="70" spans="1:3" x14ac:dyDescent="0.25">
      <c r="A70" s="6">
        <v>44560</v>
      </c>
      <c r="B70" t="s">
        <v>28</v>
      </c>
      <c r="C70" s="2">
        <v>1166</v>
      </c>
    </row>
    <row r="71" spans="1:3" x14ac:dyDescent="0.25">
      <c r="A71" s="6">
        <v>44350</v>
      </c>
      <c r="B71" t="s">
        <v>25</v>
      </c>
      <c r="C71" s="2">
        <v>1106</v>
      </c>
    </row>
    <row r="72" spans="1:3" x14ac:dyDescent="0.25">
      <c r="A72" s="6">
        <v>44381</v>
      </c>
      <c r="B72" t="s">
        <v>25</v>
      </c>
      <c r="C72" s="2">
        <v>1009</v>
      </c>
    </row>
    <row r="73" spans="1:3" x14ac:dyDescent="0.25">
      <c r="A73" s="6">
        <v>44316</v>
      </c>
      <c r="B73" t="s">
        <v>27</v>
      </c>
      <c r="C73" s="2">
        <v>1007</v>
      </c>
    </row>
    <row r="74" spans="1:3" x14ac:dyDescent="0.25">
      <c r="A74" s="6">
        <v>44384</v>
      </c>
      <c r="B74" t="s">
        <v>27</v>
      </c>
      <c r="C74" s="2">
        <v>1155</v>
      </c>
    </row>
    <row r="75" spans="1:3" x14ac:dyDescent="0.25">
      <c r="A75" s="6">
        <v>44406</v>
      </c>
      <c r="B75" t="s">
        <v>26</v>
      </c>
      <c r="C75" s="2">
        <v>863</v>
      </c>
    </row>
    <row r="76" spans="1:3" x14ac:dyDescent="0.25">
      <c r="A76" s="6">
        <v>44396</v>
      </c>
      <c r="B76" t="s">
        <v>27</v>
      </c>
      <c r="C76" s="2">
        <v>961</v>
      </c>
    </row>
    <row r="77" spans="1:3" x14ac:dyDescent="0.25">
      <c r="A77" s="6">
        <v>44468</v>
      </c>
      <c r="B77" t="s">
        <v>26</v>
      </c>
      <c r="C77" s="2">
        <v>1121</v>
      </c>
    </row>
    <row r="78" spans="1:3" x14ac:dyDescent="0.25">
      <c r="A78" s="6">
        <v>44545</v>
      </c>
      <c r="B78" t="s">
        <v>27</v>
      </c>
      <c r="C78" s="2">
        <v>905</v>
      </c>
    </row>
    <row r="79" spans="1:3" x14ac:dyDescent="0.25">
      <c r="A79" s="6">
        <v>44483</v>
      </c>
      <c r="B79" t="s">
        <v>27</v>
      </c>
      <c r="C79" s="2">
        <v>925</v>
      </c>
    </row>
    <row r="80" spans="1:3" x14ac:dyDescent="0.25">
      <c r="A80" s="6">
        <v>44473</v>
      </c>
      <c r="B80" t="s">
        <v>28</v>
      </c>
      <c r="C80" s="2">
        <v>1168</v>
      </c>
    </row>
    <row r="81" spans="1:3" x14ac:dyDescent="0.25">
      <c r="A81" s="6">
        <v>44463</v>
      </c>
      <c r="B81" t="s">
        <v>25</v>
      </c>
      <c r="C81" s="2">
        <v>1141</v>
      </c>
    </row>
    <row r="82" spans="1:3" x14ac:dyDescent="0.25">
      <c r="A82" s="6">
        <v>44441</v>
      </c>
      <c r="B82" t="s">
        <v>25</v>
      </c>
      <c r="C82" s="2">
        <v>1068</v>
      </c>
    </row>
    <row r="83" spans="1:3" x14ac:dyDescent="0.25">
      <c r="A83" s="6">
        <v>44431</v>
      </c>
      <c r="B83" t="s">
        <v>25</v>
      </c>
      <c r="C83" s="2">
        <v>842</v>
      </c>
    </row>
    <row r="84" spans="1:3" x14ac:dyDescent="0.25">
      <c r="A84" s="6">
        <v>44237</v>
      </c>
      <c r="B84" t="s">
        <v>27</v>
      </c>
      <c r="C84" s="2">
        <v>962</v>
      </c>
    </row>
    <row r="85" spans="1:3" x14ac:dyDescent="0.25">
      <c r="A85" s="6">
        <v>44205</v>
      </c>
      <c r="B85" t="s">
        <v>26</v>
      </c>
      <c r="C85" s="2">
        <v>883</v>
      </c>
    </row>
    <row r="86" spans="1:3" x14ac:dyDescent="0.25">
      <c r="A86" s="6">
        <v>44553</v>
      </c>
      <c r="B86" t="s">
        <v>26</v>
      </c>
      <c r="C86" s="2">
        <v>1076</v>
      </c>
    </row>
    <row r="87" spans="1:3" x14ac:dyDescent="0.25">
      <c r="A87" s="6">
        <v>44553</v>
      </c>
      <c r="B87" t="s">
        <v>27</v>
      </c>
      <c r="C87" s="2">
        <v>934</v>
      </c>
    </row>
    <row r="88" spans="1:3" x14ac:dyDescent="0.25">
      <c r="A88" s="6">
        <v>44242</v>
      </c>
      <c r="B88" t="s">
        <v>27</v>
      </c>
      <c r="C88" s="2">
        <v>1056</v>
      </c>
    </row>
    <row r="89" spans="1:3" x14ac:dyDescent="0.25">
      <c r="A89" s="6">
        <v>44333</v>
      </c>
      <c r="B89" t="s">
        <v>26</v>
      </c>
      <c r="C89" s="2">
        <v>1110</v>
      </c>
    </row>
    <row r="90" spans="1:3" x14ac:dyDescent="0.25">
      <c r="A90" s="6">
        <v>44437</v>
      </c>
      <c r="B90" t="s">
        <v>28</v>
      </c>
      <c r="C90" s="2">
        <v>1193</v>
      </c>
    </row>
    <row r="91" spans="1:3" x14ac:dyDescent="0.25">
      <c r="A91" s="6">
        <v>44547</v>
      </c>
      <c r="B91" t="s">
        <v>26</v>
      </c>
      <c r="C91" s="2">
        <v>1157</v>
      </c>
    </row>
    <row r="92" spans="1:3" x14ac:dyDescent="0.25">
      <c r="A92" s="6">
        <v>44377</v>
      </c>
      <c r="B92" t="s">
        <v>26</v>
      </c>
      <c r="C92" s="2">
        <v>1048</v>
      </c>
    </row>
    <row r="93" spans="1:3" x14ac:dyDescent="0.25">
      <c r="A93" s="6">
        <v>44393</v>
      </c>
      <c r="B93" t="s">
        <v>28</v>
      </c>
      <c r="C93" s="2">
        <v>1024</v>
      </c>
    </row>
    <row r="94" spans="1:3" x14ac:dyDescent="0.25">
      <c r="A94" s="6">
        <v>44322</v>
      </c>
      <c r="B94" t="s">
        <v>27</v>
      </c>
      <c r="C94" s="2">
        <v>1100</v>
      </c>
    </row>
    <row r="95" spans="1:3" x14ac:dyDescent="0.25">
      <c r="A95" s="6">
        <v>44356</v>
      </c>
      <c r="B95" t="s">
        <v>25</v>
      </c>
      <c r="C95" s="2">
        <v>1096</v>
      </c>
    </row>
    <row r="96" spans="1:3" x14ac:dyDescent="0.25">
      <c r="A96" s="6">
        <v>44426</v>
      </c>
      <c r="B96" t="s">
        <v>26</v>
      </c>
      <c r="C96" s="2">
        <v>1073</v>
      </c>
    </row>
    <row r="97" spans="1:3" x14ac:dyDescent="0.25">
      <c r="A97" s="6">
        <v>44354</v>
      </c>
      <c r="B97" t="s">
        <v>26</v>
      </c>
      <c r="C97" s="2">
        <v>1149</v>
      </c>
    </row>
    <row r="98" spans="1:3" x14ac:dyDescent="0.25">
      <c r="A98" s="6">
        <v>44510</v>
      </c>
      <c r="B98" t="s">
        <v>28</v>
      </c>
      <c r="C98" s="2">
        <v>922</v>
      </c>
    </row>
    <row r="99" spans="1:3" x14ac:dyDescent="0.25">
      <c r="A99" s="6">
        <v>44271</v>
      </c>
      <c r="B99" t="s">
        <v>28</v>
      </c>
      <c r="C99" s="2">
        <v>868</v>
      </c>
    </row>
    <row r="100" spans="1:3" x14ac:dyDescent="0.25">
      <c r="A100" s="6">
        <v>44364</v>
      </c>
      <c r="B100" t="s">
        <v>25</v>
      </c>
      <c r="C100" s="2">
        <v>1052</v>
      </c>
    </row>
    <row r="101" spans="1:3" x14ac:dyDescent="0.25">
      <c r="A101" s="6">
        <v>44536</v>
      </c>
      <c r="B101" t="s">
        <v>28</v>
      </c>
      <c r="C101" s="2">
        <v>852</v>
      </c>
    </row>
    <row r="102" spans="1:3" x14ac:dyDescent="0.25">
      <c r="A102" s="6">
        <v>44526</v>
      </c>
      <c r="B102" t="s">
        <v>26</v>
      </c>
      <c r="C102" s="2">
        <v>1150</v>
      </c>
    </row>
    <row r="103" spans="1:3" x14ac:dyDescent="0.25">
      <c r="A103" s="6">
        <v>44353</v>
      </c>
      <c r="B103" t="s">
        <v>27</v>
      </c>
      <c r="C103" s="2">
        <v>1090</v>
      </c>
    </row>
    <row r="104" spans="1:3" x14ac:dyDescent="0.25">
      <c r="A104" s="6">
        <v>44524</v>
      </c>
      <c r="B104" t="s">
        <v>27</v>
      </c>
      <c r="C104" s="2">
        <v>881</v>
      </c>
    </row>
    <row r="105" spans="1:3" x14ac:dyDescent="0.25">
      <c r="A105" s="6">
        <v>44541</v>
      </c>
      <c r="B105" t="s">
        <v>26</v>
      </c>
      <c r="C105" s="2">
        <v>851</v>
      </c>
    </row>
    <row r="106" spans="1:3" x14ac:dyDescent="0.25">
      <c r="A106" s="6">
        <v>44291</v>
      </c>
      <c r="B106" t="s">
        <v>26</v>
      </c>
      <c r="C106" s="2">
        <v>883</v>
      </c>
    </row>
    <row r="107" spans="1:3" x14ac:dyDescent="0.25">
      <c r="A107" s="6">
        <v>44342</v>
      </c>
      <c r="B107" t="s">
        <v>25</v>
      </c>
      <c r="C107" s="2">
        <v>911</v>
      </c>
    </row>
    <row r="108" spans="1:3" x14ac:dyDescent="0.25">
      <c r="A108" s="6">
        <v>44458</v>
      </c>
      <c r="B108" t="s">
        <v>26</v>
      </c>
      <c r="C108" s="2">
        <v>1059</v>
      </c>
    </row>
    <row r="109" spans="1:3" x14ac:dyDescent="0.25">
      <c r="A109" s="6">
        <v>44281</v>
      </c>
      <c r="B109" t="s">
        <v>27</v>
      </c>
      <c r="C109" s="2">
        <v>949</v>
      </c>
    </row>
    <row r="110" spans="1:3" x14ac:dyDescent="0.25">
      <c r="A110" s="6">
        <v>44276</v>
      </c>
      <c r="B110" t="s">
        <v>25</v>
      </c>
      <c r="C110" s="2">
        <v>946</v>
      </c>
    </row>
    <row r="111" spans="1:3" x14ac:dyDescent="0.25">
      <c r="A111" s="6">
        <v>44203</v>
      </c>
      <c r="B111" t="s">
        <v>26</v>
      </c>
      <c r="C111" s="2">
        <v>1130</v>
      </c>
    </row>
    <row r="112" spans="1:3" x14ac:dyDescent="0.25">
      <c r="A112" s="6">
        <v>44431</v>
      </c>
      <c r="B112" t="s">
        <v>28</v>
      </c>
      <c r="C112" s="2">
        <v>888</v>
      </c>
    </row>
    <row r="113" spans="1:3" x14ac:dyDescent="0.25">
      <c r="A113" s="6">
        <v>44516</v>
      </c>
      <c r="B113" t="s">
        <v>28</v>
      </c>
      <c r="C113" s="2">
        <v>1185</v>
      </c>
    </row>
    <row r="114" spans="1:3" x14ac:dyDescent="0.25">
      <c r="A114" s="6">
        <v>44256</v>
      </c>
      <c r="B114" t="s">
        <v>27</v>
      </c>
      <c r="C114" s="2">
        <v>854</v>
      </c>
    </row>
    <row r="115" spans="1:3" x14ac:dyDescent="0.25">
      <c r="A115" s="6">
        <v>44208</v>
      </c>
      <c r="B115" t="s">
        <v>28</v>
      </c>
      <c r="C115" s="2">
        <v>963</v>
      </c>
    </row>
    <row r="116" spans="1:3" x14ac:dyDescent="0.25">
      <c r="A116" s="6">
        <v>44346</v>
      </c>
      <c r="B116" t="s">
        <v>25</v>
      </c>
      <c r="C116" s="2">
        <v>949</v>
      </c>
    </row>
    <row r="117" spans="1:3" x14ac:dyDescent="0.25">
      <c r="A117" s="6">
        <v>44219</v>
      </c>
      <c r="B117" t="s">
        <v>27</v>
      </c>
      <c r="C117" s="2">
        <v>832</v>
      </c>
    </row>
    <row r="118" spans="1:3" x14ac:dyDescent="0.25">
      <c r="A118" s="6">
        <v>44556</v>
      </c>
      <c r="B118" t="s">
        <v>27</v>
      </c>
      <c r="C118" s="2">
        <v>1173</v>
      </c>
    </row>
    <row r="119" spans="1:3" x14ac:dyDescent="0.25">
      <c r="A119" s="6">
        <v>44491</v>
      </c>
      <c r="B119" t="s">
        <v>25</v>
      </c>
      <c r="C119" s="2">
        <v>1161</v>
      </c>
    </row>
    <row r="120" spans="1:3" x14ac:dyDescent="0.25">
      <c r="A120" s="6">
        <v>44219</v>
      </c>
      <c r="B120" t="s">
        <v>27</v>
      </c>
      <c r="C120" s="2">
        <v>1054</v>
      </c>
    </row>
    <row r="121" spans="1:3" x14ac:dyDescent="0.25">
      <c r="A121" s="6">
        <v>44280</v>
      </c>
      <c r="B121" t="s">
        <v>25</v>
      </c>
      <c r="C121" s="2">
        <v>1058</v>
      </c>
    </row>
    <row r="122" spans="1:3" x14ac:dyDescent="0.25">
      <c r="A122" s="6">
        <v>44203</v>
      </c>
      <c r="B122" t="s">
        <v>27</v>
      </c>
      <c r="C122" s="2">
        <v>949</v>
      </c>
    </row>
    <row r="123" spans="1:3" x14ac:dyDescent="0.25">
      <c r="A123" s="6">
        <v>44509</v>
      </c>
      <c r="B123" t="s">
        <v>27</v>
      </c>
      <c r="C123" s="2">
        <v>1026</v>
      </c>
    </row>
    <row r="124" spans="1:3" x14ac:dyDescent="0.25">
      <c r="A124" s="6">
        <v>44518</v>
      </c>
      <c r="B124" t="s">
        <v>25</v>
      </c>
      <c r="C124" s="2">
        <v>967</v>
      </c>
    </row>
    <row r="125" spans="1:3" x14ac:dyDescent="0.25">
      <c r="A125" s="6">
        <v>44302</v>
      </c>
      <c r="B125" t="s">
        <v>26</v>
      </c>
      <c r="C125" s="2">
        <v>1001</v>
      </c>
    </row>
    <row r="126" spans="1:3" x14ac:dyDescent="0.25">
      <c r="A126" s="6">
        <v>44487</v>
      </c>
      <c r="B126" t="s">
        <v>28</v>
      </c>
      <c r="C126" s="2">
        <v>1011</v>
      </c>
    </row>
    <row r="127" spans="1:3" x14ac:dyDescent="0.25">
      <c r="A127" s="6">
        <v>44457</v>
      </c>
      <c r="B127" t="s">
        <v>25</v>
      </c>
      <c r="C127" s="2">
        <v>1170</v>
      </c>
    </row>
    <row r="128" spans="1:3" x14ac:dyDescent="0.25">
      <c r="A128" s="6">
        <v>44365</v>
      </c>
      <c r="B128" t="s">
        <v>27</v>
      </c>
      <c r="C128" s="2">
        <v>850</v>
      </c>
    </row>
    <row r="129" spans="1:3" x14ac:dyDescent="0.25">
      <c r="A129" s="6">
        <v>44535</v>
      </c>
      <c r="B129" t="s">
        <v>28</v>
      </c>
      <c r="C129" s="2">
        <v>970</v>
      </c>
    </row>
    <row r="130" spans="1:3" x14ac:dyDescent="0.25">
      <c r="A130" s="6">
        <v>44382</v>
      </c>
      <c r="B130" t="s">
        <v>25</v>
      </c>
      <c r="C130" s="2">
        <v>1031</v>
      </c>
    </row>
    <row r="131" spans="1:3" x14ac:dyDescent="0.25">
      <c r="A131" s="6">
        <v>44538</v>
      </c>
      <c r="B131" t="s">
        <v>27</v>
      </c>
      <c r="C131" s="2">
        <v>1136</v>
      </c>
    </row>
    <row r="132" spans="1:3" x14ac:dyDescent="0.25">
      <c r="A132" s="6">
        <v>44329</v>
      </c>
      <c r="B132" t="s">
        <v>25</v>
      </c>
      <c r="C132" s="2">
        <v>1108</v>
      </c>
    </row>
    <row r="133" spans="1:3" x14ac:dyDescent="0.25">
      <c r="A133" s="6">
        <v>44494</v>
      </c>
      <c r="B133" t="s">
        <v>28</v>
      </c>
      <c r="C133" s="2">
        <v>1189</v>
      </c>
    </row>
    <row r="134" spans="1:3" x14ac:dyDescent="0.25">
      <c r="A134" s="6">
        <v>44486</v>
      </c>
      <c r="B134" t="s">
        <v>26</v>
      </c>
      <c r="C134" s="2">
        <v>1038</v>
      </c>
    </row>
    <row r="135" spans="1:3" x14ac:dyDescent="0.25">
      <c r="A135" s="6">
        <v>44418</v>
      </c>
      <c r="B135" t="s">
        <v>25</v>
      </c>
      <c r="C135" s="2">
        <v>834</v>
      </c>
    </row>
    <row r="136" spans="1:3" x14ac:dyDescent="0.25">
      <c r="A136" s="6">
        <v>44369</v>
      </c>
      <c r="B136" t="s">
        <v>28</v>
      </c>
      <c r="C136" s="2">
        <v>903</v>
      </c>
    </row>
    <row r="137" spans="1:3" x14ac:dyDescent="0.25">
      <c r="A137" s="6">
        <v>44528</v>
      </c>
      <c r="B137" t="s">
        <v>26</v>
      </c>
      <c r="C137" s="2">
        <v>822</v>
      </c>
    </row>
    <row r="138" spans="1:3" x14ac:dyDescent="0.25">
      <c r="A138" s="6">
        <v>44399</v>
      </c>
      <c r="B138" t="s">
        <v>25</v>
      </c>
      <c r="C138" s="2">
        <v>1004</v>
      </c>
    </row>
    <row r="139" spans="1:3" x14ac:dyDescent="0.25">
      <c r="A139" s="6">
        <v>44439</v>
      </c>
      <c r="B139" t="s">
        <v>26</v>
      </c>
      <c r="C139" s="2">
        <v>1167</v>
      </c>
    </row>
    <row r="140" spans="1:3" x14ac:dyDescent="0.25">
      <c r="A140" s="6">
        <v>44251</v>
      </c>
      <c r="B140" t="s">
        <v>25</v>
      </c>
      <c r="C140" s="2">
        <v>890</v>
      </c>
    </row>
    <row r="141" spans="1:3" x14ac:dyDescent="0.25">
      <c r="A141" s="6">
        <v>44290</v>
      </c>
      <c r="B141" t="s">
        <v>28</v>
      </c>
      <c r="C141" s="2">
        <v>960</v>
      </c>
    </row>
    <row r="142" spans="1:3" x14ac:dyDescent="0.25">
      <c r="A142" s="6">
        <v>44254</v>
      </c>
      <c r="B142" t="s">
        <v>27</v>
      </c>
      <c r="C142" s="2">
        <v>1183</v>
      </c>
    </row>
    <row r="143" spans="1:3" x14ac:dyDescent="0.25">
      <c r="A143" s="6">
        <v>44441</v>
      </c>
      <c r="B143" t="s">
        <v>26</v>
      </c>
      <c r="C143" s="2">
        <v>1031</v>
      </c>
    </row>
    <row r="144" spans="1:3" x14ac:dyDescent="0.25">
      <c r="A144" s="6">
        <v>44496</v>
      </c>
      <c r="B144" t="s">
        <v>26</v>
      </c>
      <c r="C144" s="2">
        <v>992</v>
      </c>
    </row>
    <row r="145" spans="1:3" x14ac:dyDescent="0.25">
      <c r="A145" s="6">
        <v>44425</v>
      </c>
      <c r="B145" t="s">
        <v>27</v>
      </c>
      <c r="C145" s="2">
        <v>933</v>
      </c>
    </row>
    <row r="146" spans="1:3" x14ac:dyDescent="0.25">
      <c r="A146" s="6">
        <v>44287</v>
      </c>
      <c r="B146" t="s">
        <v>25</v>
      </c>
      <c r="C146" s="2">
        <v>935</v>
      </c>
    </row>
    <row r="147" spans="1:3" x14ac:dyDescent="0.25">
      <c r="A147" s="6">
        <v>44376</v>
      </c>
      <c r="B147" t="s">
        <v>28</v>
      </c>
      <c r="C147" s="2">
        <v>1155</v>
      </c>
    </row>
    <row r="148" spans="1:3" x14ac:dyDescent="0.25">
      <c r="A148" s="6">
        <v>44255</v>
      </c>
      <c r="B148" t="s">
        <v>25</v>
      </c>
      <c r="C148" s="2">
        <v>1078</v>
      </c>
    </row>
    <row r="149" spans="1:3" x14ac:dyDescent="0.25">
      <c r="A149" s="6">
        <v>44238</v>
      </c>
      <c r="B149" t="s">
        <v>26</v>
      </c>
      <c r="C149" s="2">
        <v>962</v>
      </c>
    </row>
    <row r="150" spans="1:3" x14ac:dyDescent="0.25">
      <c r="A150" s="6">
        <v>44241</v>
      </c>
      <c r="B150" t="s">
        <v>27</v>
      </c>
      <c r="C150" s="2">
        <v>1027</v>
      </c>
    </row>
    <row r="151" spans="1:3" x14ac:dyDescent="0.25">
      <c r="A151" s="6">
        <v>44434</v>
      </c>
      <c r="B151" t="s">
        <v>27</v>
      </c>
      <c r="C151" s="2">
        <v>1116</v>
      </c>
    </row>
    <row r="152" spans="1:3" x14ac:dyDescent="0.25">
      <c r="A152" s="6">
        <v>44480</v>
      </c>
      <c r="B152" t="s">
        <v>25</v>
      </c>
      <c r="C152" s="2">
        <v>849</v>
      </c>
    </row>
    <row r="153" spans="1:3" x14ac:dyDescent="0.25">
      <c r="A153" s="6">
        <v>44404</v>
      </c>
      <c r="B153" t="s">
        <v>25</v>
      </c>
      <c r="C153" s="2">
        <v>1007</v>
      </c>
    </row>
    <row r="154" spans="1:3" x14ac:dyDescent="0.25">
      <c r="A154" s="6">
        <v>44435</v>
      </c>
      <c r="B154" t="s">
        <v>28</v>
      </c>
      <c r="C154" s="2">
        <v>965</v>
      </c>
    </row>
    <row r="155" spans="1:3" x14ac:dyDescent="0.25">
      <c r="A155" s="6">
        <v>44316</v>
      </c>
      <c r="B155" t="s">
        <v>27</v>
      </c>
      <c r="C155" s="2">
        <v>928</v>
      </c>
    </row>
    <row r="156" spans="1:3" x14ac:dyDescent="0.25">
      <c r="A156" s="6">
        <v>44243</v>
      </c>
      <c r="B156" t="s">
        <v>27</v>
      </c>
      <c r="C156" s="2">
        <v>912</v>
      </c>
    </row>
    <row r="157" spans="1:3" x14ac:dyDescent="0.25">
      <c r="A157" s="6">
        <v>44246</v>
      </c>
      <c r="B157" t="s">
        <v>25</v>
      </c>
      <c r="C157" s="2">
        <v>1006</v>
      </c>
    </row>
    <row r="158" spans="1:3" x14ac:dyDescent="0.25">
      <c r="A158" s="6">
        <v>44273</v>
      </c>
      <c r="B158" t="s">
        <v>27</v>
      </c>
      <c r="C158" s="2">
        <v>883</v>
      </c>
    </row>
    <row r="159" spans="1:3" x14ac:dyDescent="0.25">
      <c r="A159" s="6">
        <v>44510</v>
      </c>
      <c r="B159" t="s">
        <v>25</v>
      </c>
      <c r="C159" s="2">
        <v>1134</v>
      </c>
    </row>
    <row r="160" spans="1:3" x14ac:dyDescent="0.25">
      <c r="A160" s="6">
        <v>44453</v>
      </c>
      <c r="B160" t="s">
        <v>27</v>
      </c>
      <c r="C160" s="2">
        <v>1133</v>
      </c>
    </row>
    <row r="161" spans="1:3" x14ac:dyDescent="0.25">
      <c r="A161" s="6">
        <v>44246</v>
      </c>
      <c r="B161" t="s">
        <v>28</v>
      </c>
      <c r="C161" s="2">
        <v>965</v>
      </c>
    </row>
    <row r="162" spans="1:3" x14ac:dyDescent="0.25">
      <c r="A162" s="6">
        <v>44518</v>
      </c>
      <c r="B162" t="s">
        <v>27</v>
      </c>
      <c r="C162" s="2">
        <v>1179</v>
      </c>
    </row>
    <row r="163" spans="1:3" x14ac:dyDescent="0.25">
      <c r="A163" s="6">
        <v>44368</v>
      </c>
      <c r="B163" t="s">
        <v>26</v>
      </c>
      <c r="C163" s="2">
        <v>995</v>
      </c>
    </row>
    <row r="164" spans="1:3" x14ac:dyDescent="0.25">
      <c r="A164" s="6">
        <v>44315</v>
      </c>
      <c r="B164" t="s">
        <v>27</v>
      </c>
      <c r="C164" s="2">
        <v>1155</v>
      </c>
    </row>
    <row r="165" spans="1:3" x14ac:dyDescent="0.25">
      <c r="A165" s="6">
        <v>44463</v>
      </c>
      <c r="B165" t="s">
        <v>28</v>
      </c>
      <c r="C165" s="2">
        <v>971</v>
      </c>
    </row>
    <row r="166" spans="1:3" x14ac:dyDescent="0.25">
      <c r="A166" s="6">
        <v>44419</v>
      </c>
      <c r="B166" t="s">
        <v>25</v>
      </c>
      <c r="C166" s="2">
        <v>885</v>
      </c>
    </row>
    <row r="167" spans="1:3" x14ac:dyDescent="0.25">
      <c r="A167" s="6">
        <v>44228</v>
      </c>
      <c r="B167" t="s">
        <v>25</v>
      </c>
      <c r="C167" s="2">
        <v>1100</v>
      </c>
    </row>
    <row r="168" spans="1:3" x14ac:dyDescent="0.25">
      <c r="A168" s="6">
        <v>44208</v>
      </c>
      <c r="B168" t="s">
        <v>25</v>
      </c>
      <c r="C168" s="2">
        <v>1195</v>
      </c>
    </row>
    <row r="169" spans="1:3" x14ac:dyDescent="0.25">
      <c r="A169" s="6">
        <v>44489</v>
      </c>
      <c r="B169" t="s">
        <v>28</v>
      </c>
      <c r="C169" s="2">
        <v>955</v>
      </c>
    </row>
    <row r="170" spans="1:3" x14ac:dyDescent="0.25">
      <c r="A170" s="6">
        <v>44348</v>
      </c>
      <c r="B170" t="s">
        <v>25</v>
      </c>
      <c r="C170" s="2">
        <v>989</v>
      </c>
    </row>
    <row r="171" spans="1:3" x14ac:dyDescent="0.25">
      <c r="A171" s="6">
        <v>44488</v>
      </c>
      <c r="B171" t="s">
        <v>27</v>
      </c>
      <c r="C171" s="2">
        <v>877</v>
      </c>
    </row>
    <row r="172" spans="1:3" x14ac:dyDescent="0.25">
      <c r="A172" s="6">
        <v>44390</v>
      </c>
      <c r="B172" t="s">
        <v>28</v>
      </c>
      <c r="C172" s="2">
        <v>1193</v>
      </c>
    </row>
    <row r="173" spans="1:3" x14ac:dyDescent="0.25">
      <c r="A173" s="6">
        <v>44255</v>
      </c>
      <c r="B173" t="s">
        <v>28</v>
      </c>
      <c r="C173" s="2">
        <v>1188</v>
      </c>
    </row>
    <row r="174" spans="1:3" x14ac:dyDescent="0.25">
      <c r="A174" s="6">
        <v>44420</v>
      </c>
      <c r="B174" t="s">
        <v>28</v>
      </c>
      <c r="C174" s="2">
        <v>1047</v>
      </c>
    </row>
    <row r="175" spans="1:3" x14ac:dyDescent="0.25">
      <c r="A175" s="6">
        <v>44355</v>
      </c>
      <c r="B175" t="s">
        <v>27</v>
      </c>
      <c r="C175" s="2">
        <v>869</v>
      </c>
    </row>
    <row r="176" spans="1:3" x14ac:dyDescent="0.25">
      <c r="A176" s="6">
        <v>44230</v>
      </c>
      <c r="B176" t="s">
        <v>28</v>
      </c>
      <c r="C176" s="2">
        <v>993</v>
      </c>
    </row>
    <row r="177" spans="1:3" x14ac:dyDescent="0.25">
      <c r="A177" s="6">
        <v>44341</v>
      </c>
      <c r="B177" t="s">
        <v>28</v>
      </c>
      <c r="C177" s="2">
        <v>835</v>
      </c>
    </row>
    <row r="178" spans="1:3" x14ac:dyDescent="0.25">
      <c r="A178" s="6">
        <v>44468</v>
      </c>
      <c r="B178" t="s">
        <v>26</v>
      </c>
      <c r="C178" s="2">
        <v>924</v>
      </c>
    </row>
    <row r="179" spans="1:3" x14ac:dyDescent="0.25">
      <c r="A179" s="6">
        <v>44445</v>
      </c>
      <c r="B179" t="s">
        <v>28</v>
      </c>
      <c r="C179" s="2">
        <v>1018</v>
      </c>
    </row>
    <row r="180" spans="1:3" x14ac:dyDescent="0.25">
      <c r="A180" s="6">
        <v>44441</v>
      </c>
      <c r="B180" t="s">
        <v>27</v>
      </c>
      <c r="C180" s="2">
        <v>1165</v>
      </c>
    </row>
    <row r="181" spans="1:3" x14ac:dyDescent="0.25">
      <c r="A181" s="6">
        <v>44447</v>
      </c>
      <c r="B181" t="s">
        <v>28</v>
      </c>
      <c r="C181" s="2">
        <v>1093</v>
      </c>
    </row>
    <row r="182" spans="1:3" x14ac:dyDescent="0.25">
      <c r="A182" s="6">
        <v>44498</v>
      </c>
      <c r="B182" t="s">
        <v>26</v>
      </c>
      <c r="C182" s="2">
        <v>880</v>
      </c>
    </row>
    <row r="183" spans="1:3" x14ac:dyDescent="0.25">
      <c r="A183" s="6">
        <v>44249</v>
      </c>
      <c r="B183" t="s">
        <v>28</v>
      </c>
      <c r="C183" s="2">
        <v>850</v>
      </c>
    </row>
    <row r="184" spans="1:3" x14ac:dyDescent="0.25">
      <c r="A184" s="6">
        <v>44420</v>
      </c>
      <c r="B184" t="s">
        <v>25</v>
      </c>
      <c r="C184" s="2">
        <v>875</v>
      </c>
    </row>
    <row r="185" spans="1:3" x14ac:dyDescent="0.25">
      <c r="A185" s="6">
        <v>44342</v>
      </c>
      <c r="B185" t="s">
        <v>27</v>
      </c>
      <c r="C185" s="2">
        <v>1080</v>
      </c>
    </row>
    <row r="186" spans="1:3" x14ac:dyDescent="0.25">
      <c r="A186" s="6">
        <v>44561</v>
      </c>
      <c r="B186" t="s">
        <v>27</v>
      </c>
      <c r="C186" s="2">
        <v>1111</v>
      </c>
    </row>
    <row r="187" spans="1:3" x14ac:dyDescent="0.25">
      <c r="A187" s="6">
        <v>44277</v>
      </c>
      <c r="B187" t="s">
        <v>27</v>
      </c>
      <c r="C187" s="2">
        <v>1015</v>
      </c>
    </row>
    <row r="188" spans="1:3" x14ac:dyDescent="0.25">
      <c r="A188" s="6">
        <v>44357</v>
      </c>
      <c r="B188" t="s">
        <v>28</v>
      </c>
      <c r="C188" s="2">
        <v>1012</v>
      </c>
    </row>
    <row r="189" spans="1:3" x14ac:dyDescent="0.25">
      <c r="A189" s="6">
        <v>44415</v>
      </c>
      <c r="B189" t="s">
        <v>25</v>
      </c>
      <c r="C189" s="2">
        <v>1044</v>
      </c>
    </row>
    <row r="190" spans="1:3" x14ac:dyDescent="0.25">
      <c r="A190" s="6">
        <v>44497</v>
      </c>
      <c r="B190" t="s">
        <v>26</v>
      </c>
      <c r="C190" s="2">
        <v>904</v>
      </c>
    </row>
    <row r="191" spans="1:3" x14ac:dyDescent="0.25">
      <c r="A191" s="6">
        <v>44484</v>
      </c>
      <c r="B191" t="s">
        <v>26</v>
      </c>
      <c r="C191" s="2">
        <v>1109</v>
      </c>
    </row>
    <row r="192" spans="1:3" x14ac:dyDescent="0.25">
      <c r="A192" s="6">
        <v>44373</v>
      </c>
      <c r="B192" t="s">
        <v>27</v>
      </c>
      <c r="C192" s="2">
        <v>871</v>
      </c>
    </row>
    <row r="193" spans="1:3" x14ac:dyDescent="0.25">
      <c r="A193" s="6">
        <v>44533</v>
      </c>
      <c r="B193" t="s">
        <v>26</v>
      </c>
      <c r="C193" s="2">
        <v>866</v>
      </c>
    </row>
    <row r="194" spans="1:3" x14ac:dyDescent="0.25">
      <c r="A194" s="6">
        <v>44296</v>
      </c>
      <c r="B194" t="s">
        <v>25</v>
      </c>
      <c r="C194" s="2">
        <v>974</v>
      </c>
    </row>
    <row r="195" spans="1:3" x14ac:dyDescent="0.25">
      <c r="A195" s="6">
        <v>44435</v>
      </c>
      <c r="B195" t="s">
        <v>26</v>
      </c>
      <c r="C195" s="2">
        <v>819</v>
      </c>
    </row>
    <row r="196" spans="1:3" x14ac:dyDescent="0.25">
      <c r="A196" s="6">
        <v>44351</v>
      </c>
      <c r="B196" t="s">
        <v>26</v>
      </c>
      <c r="C196" s="2">
        <v>984</v>
      </c>
    </row>
    <row r="197" spans="1:3" x14ac:dyDescent="0.25">
      <c r="A197" s="6">
        <v>44344</v>
      </c>
      <c r="B197" t="s">
        <v>26</v>
      </c>
      <c r="C197" s="2">
        <v>870</v>
      </c>
    </row>
    <row r="198" spans="1:3" x14ac:dyDescent="0.25">
      <c r="A198" s="6">
        <v>44376</v>
      </c>
      <c r="B198" t="s">
        <v>27</v>
      </c>
      <c r="C198" s="2">
        <v>984</v>
      </c>
    </row>
    <row r="199" spans="1:3" x14ac:dyDescent="0.25">
      <c r="A199" s="6">
        <v>44379</v>
      </c>
      <c r="B199" t="s">
        <v>26</v>
      </c>
      <c r="C199" s="2">
        <v>1046</v>
      </c>
    </row>
    <row r="200" spans="1:3" x14ac:dyDescent="0.25">
      <c r="A200" s="6">
        <v>44282</v>
      </c>
      <c r="B200" t="s">
        <v>26</v>
      </c>
      <c r="C200" s="2">
        <v>845</v>
      </c>
    </row>
    <row r="201" spans="1:3" x14ac:dyDescent="0.25">
      <c r="A201" s="6">
        <v>44517</v>
      </c>
      <c r="B201" t="s">
        <v>26</v>
      </c>
      <c r="C201" s="2">
        <v>1086</v>
      </c>
    </row>
    <row r="202" spans="1:3" x14ac:dyDescent="0.25">
      <c r="A202" s="6">
        <v>44347</v>
      </c>
      <c r="B202" t="s">
        <v>27</v>
      </c>
      <c r="C202" s="2">
        <v>1177</v>
      </c>
    </row>
    <row r="203" spans="1:3" x14ac:dyDescent="0.25">
      <c r="A203" s="6">
        <v>44300</v>
      </c>
      <c r="B203" t="s">
        <v>27</v>
      </c>
      <c r="C203" s="2">
        <v>943</v>
      </c>
    </row>
    <row r="204" spans="1:3" x14ac:dyDescent="0.25">
      <c r="A204" s="6">
        <v>44557</v>
      </c>
      <c r="B204" t="s">
        <v>25</v>
      </c>
      <c r="C204" s="2">
        <v>1103</v>
      </c>
    </row>
    <row r="205" spans="1:3" x14ac:dyDescent="0.25">
      <c r="A205" s="6">
        <v>44401</v>
      </c>
      <c r="B205" t="s">
        <v>28</v>
      </c>
      <c r="C205" s="2">
        <v>861</v>
      </c>
    </row>
    <row r="206" spans="1:3" x14ac:dyDescent="0.25">
      <c r="A206" s="6">
        <v>44548</v>
      </c>
      <c r="B206" t="s">
        <v>27</v>
      </c>
      <c r="C206" s="2">
        <v>1095</v>
      </c>
    </row>
    <row r="207" spans="1:3" x14ac:dyDescent="0.25">
      <c r="A207" s="6">
        <v>44245</v>
      </c>
      <c r="B207" t="s">
        <v>28</v>
      </c>
      <c r="C207" s="2">
        <v>1037</v>
      </c>
    </row>
    <row r="208" spans="1:3" x14ac:dyDescent="0.25">
      <c r="A208" s="6">
        <v>44525</v>
      </c>
      <c r="B208" t="s">
        <v>28</v>
      </c>
      <c r="C208" s="2">
        <v>916</v>
      </c>
    </row>
    <row r="209" spans="1:3" x14ac:dyDescent="0.25">
      <c r="A209" s="6">
        <v>44324</v>
      </c>
      <c r="B209" t="s">
        <v>28</v>
      </c>
      <c r="C209" s="2">
        <v>828</v>
      </c>
    </row>
    <row r="210" spans="1:3" x14ac:dyDescent="0.25">
      <c r="A210" s="6">
        <v>44241</v>
      </c>
      <c r="B210" t="s">
        <v>25</v>
      </c>
      <c r="C210" s="2">
        <v>1157</v>
      </c>
    </row>
    <row r="211" spans="1:3" x14ac:dyDescent="0.25">
      <c r="A211" s="6">
        <v>44335</v>
      </c>
      <c r="B211" t="s">
        <v>25</v>
      </c>
      <c r="C211" s="2">
        <v>900</v>
      </c>
    </row>
    <row r="212" spans="1:3" x14ac:dyDescent="0.25">
      <c r="A212" s="6">
        <v>44271</v>
      </c>
      <c r="B212" t="s">
        <v>28</v>
      </c>
      <c r="C212" s="2">
        <v>923</v>
      </c>
    </row>
    <row r="213" spans="1:3" x14ac:dyDescent="0.25">
      <c r="A213" s="6">
        <v>44535</v>
      </c>
      <c r="B213" t="s">
        <v>27</v>
      </c>
      <c r="C213" s="2">
        <v>1040</v>
      </c>
    </row>
    <row r="214" spans="1:3" x14ac:dyDescent="0.25">
      <c r="A214" s="6">
        <v>44509</v>
      </c>
      <c r="B214" t="s">
        <v>25</v>
      </c>
      <c r="C214" s="2">
        <v>1169</v>
      </c>
    </row>
    <row r="215" spans="1:3" x14ac:dyDescent="0.25">
      <c r="A215" s="6">
        <v>44403</v>
      </c>
      <c r="B215" t="s">
        <v>26</v>
      </c>
      <c r="C215" s="2">
        <v>929</v>
      </c>
    </row>
    <row r="216" spans="1:3" x14ac:dyDescent="0.25">
      <c r="A216" s="6">
        <v>44382</v>
      </c>
      <c r="B216" t="s">
        <v>27</v>
      </c>
      <c r="C216" s="2">
        <v>1060</v>
      </c>
    </row>
    <row r="217" spans="1:3" x14ac:dyDescent="0.25">
      <c r="A217" s="6">
        <v>44384</v>
      </c>
      <c r="B217" t="s">
        <v>26</v>
      </c>
      <c r="C217" s="2">
        <v>1159</v>
      </c>
    </row>
    <row r="218" spans="1:3" x14ac:dyDescent="0.25">
      <c r="A218" s="6">
        <v>44381</v>
      </c>
      <c r="B218" t="s">
        <v>26</v>
      </c>
      <c r="C218" s="2">
        <v>878</v>
      </c>
    </row>
    <row r="219" spans="1:3" x14ac:dyDescent="0.25">
      <c r="A219" s="6">
        <v>44426</v>
      </c>
      <c r="B219" t="s">
        <v>26</v>
      </c>
      <c r="C219" s="2">
        <v>915</v>
      </c>
    </row>
    <row r="220" spans="1:3" x14ac:dyDescent="0.25">
      <c r="A220" s="6">
        <v>44379</v>
      </c>
      <c r="B220" t="s">
        <v>28</v>
      </c>
      <c r="C220" s="2">
        <v>979</v>
      </c>
    </row>
    <row r="221" spans="1:3" x14ac:dyDescent="0.25">
      <c r="A221" s="6">
        <v>44554</v>
      </c>
      <c r="B221" t="s">
        <v>26</v>
      </c>
      <c r="C221" s="2">
        <v>807</v>
      </c>
    </row>
    <row r="222" spans="1:3" x14ac:dyDescent="0.25">
      <c r="A222" s="6">
        <v>44311</v>
      </c>
      <c r="B222" t="s">
        <v>25</v>
      </c>
      <c r="C222" s="2">
        <v>1027</v>
      </c>
    </row>
    <row r="223" spans="1:3" x14ac:dyDescent="0.25">
      <c r="A223" s="6">
        <v>44542</v>
      </c>
      <c r="B223" t="s">
        <v>27</v>
      </c>
      <c r="C223" s="2">
        <v>821</v>
      </c>
    </row>
    <row r="224" spans="1:3" x14ac:dyDescent="0.25">
      <c r="A224" s="6">
        <v>44474</v>
      </c>
      <c r="B224" t="s">
        <v>25</v>
      </c>
      <c r="C224" s="2">
        <v>1165</v>
      </c>
    </row>
    <row r="225" spans="1:3" x14ac:dyDescent="0.25">
      <c r="A225" s="6">
        <v>44553</v>
      </c>
      <c r="B225" t="s">
        <v>25</v>
      </c>
      <c r="C225" s="2">
        <v>1024</v>
      </c>
    </row>
    <row r="226" spans="1:3" x14ac:dyDescent="0.25">
      <c r="A226" s="6">
        <v>44457</v>
      </c>
      <c r="B226" t="s">
        <v>25</v>
      </c>
      <c r="C226" s="2">
        <v>1047</v>
      </c>
    </row>
    <row r="227" spans="1:3" x14ac:dyDescent="0.25">
      <c r="A227" s="6">
        <v>44355</v>
      </c>
      <c r="B227" t="s">
        <v>25</v>
      </c>
      <c r="C227" s="2">
        <v>1091</v>
      </c>
    </row>
    <row r="228" spans="1:3" x14ac:dyDescent="0.25">
      <c r="A228" s="6">
        <v>44307</v>
      </c>
      <c r="B228" t="s">
        <v>26</v>
      </c>
      <c r="C228" s="2">
        <v>912</v>
      </c>
    </row>
    <row r="229" spans="1:3" x14ac:dyDescent="0.25">
      <c r="A229" s="6">
        <v>44406</v>
      </c>
      <c r="B229" t="s">
        <v>26</v>
      </c>
      <c r="C229" s="2">
        <v>916</v>
      </c>
    </row>
    <row r="230" spans="1:3" x14ac:dyDescent="0.25">
      <c r="A230" s="6">
        <v>44336</v>
      </c>
      <c r="B230" t="s">
        <v>27</v>
      </c>
      <c r="C230" s="2">
        <v>1075</v>
      </c>
    </row>
    <row r="231" spans="1:3" x14ac:dyDescent="0.25">
      <c r="A231" s="6">
        <v>44251</v>
      </c>
      <c r="B231" t="s">
        <v>27</v>
      </c>
      <c r="C231" s="2">
        <v>1162</v>
      </c>
    </row>
    <row r="232" spans="1:3" x14ac:dyDescent="0.25">
      <c r="A232" s="6">
        <v>44220</v>
      </c>
      <c r="B232" t="s">
        <v>28</v>
      </c>
      <c r="C232" s="2">
        <v>1099</v>
      </c>
    </row>
    <row r="233" spans="1:3" x14ac:dyDescent="0.25">
      <c r="A233" s="6">
        <v>44414</v>
      </c>
      <c r="B233" t="s">
        <v>26</v>
      </c>
      <c r="C233" s="2">
        <v>924</v>
      </c>
    </row>
    <row r="234" spans="1:3" x14ac:dyDescent="0.25">
      <c r="A234" s="6">
        <v>44365</v>
      </c>
      <c r="B234" t="s">
        <v>25</v>
      </c>
      <c r="C234" s="2">
        <v>1198</v>
      </c>
    </row>
    <row r="235" spans="1:3" x14ac:dyDescent="0.25">
      <c r="A235" s="6">
        <v>44447</v>
      </c>
      <c r="B235" t="s">
        <v>26</v>
      </c>
      <c r="C235" s="2">
        <v>1111</v>
      </c>
    </row>
    <row r="236" spans="1:3" x14ac:dyDescent="0.25">
      <c r="A236" s="6">
        <v>44458</v>
      </c>
      <c r="B236" t="s">
        <v>28</v>
      </c>
      <c r="C236" s="2">
        <v>827</v>
      </c>
    </row>
    <row r="237" spans="1:3" x14ac:dyDescent="0.25">
      <c r="A237" s="6">
        <v>44379</v>
      </c>
      <c r="B237" t="s">
        <v>28</v>
      </c>
      <c r="C237" s="2">
        <v>812</v>
      </c>
    </row>
    <row r="238" spans="1:3" x14ac:dyDescent="0.25">
      <c r="A238" s="6">
        <v>44310</v>
      </c>
      <c r="B238" t="s">
        <v>25</v>
      </c>
      <c r="C238" s="2">
        <v>1125</v>
      </c>
    </row>
    <row r="239" spans="1:3" x14ac:dyDescent="0.25">
      <c r="A239" s="6">
        <v>44456</v>
      </c>
      <c r="B239" t="s">
        <v>26</v>
      </c>
      <c r="C239" s="2">
        <v>871</v>
      </c>
    </row>
    <row r="240" spans="1:3" x14ac:dyDescent="0.25">
      <c r="A240" s="6">
        <v>44398</v>
      </c>
      <c r="B240" t="s">
        <v>28</v>
      </c>
      <c r="C240" s="2">
        <v>974</v>
      </c>
    </row>
    <row r="241" spans="1:3" x14ac:dyDescent="0.25">
      <c r="A241" s="6">
        <v>44243</v>
      </c>
      <c r="B241" t="s">
        <v>28</v>
      </c>
      <c r="C241" s="2">
        <v>1164</v>
      </c>
    </row>
    <row r="242" spans="1:3" x14ac:dyDescent="0.25">
      <c r="A242" s="6">
        <v>44252</v>
      </c>
      <c r="B242" t="s">
        <v>27</v>
      </c>
      <c r="C242" s="2">
        <v>961</v>
      </c>
    </row>
    <row r="243" spans="1:3" x14ac:dyDescent="0.25">
      <c r="A243" s="6">
        <v>44431</v>
      </c>
      <c r="B243" t="s">
        <v>28</v>
      </c>
      <c r="C243" s="2">
        <v>1089</v>
      </c>
    </row>
    <row r="244" spans="1:3" x14ac:dyDescent="0.25">
      <c r="A244" s="6">
        <v>44286</v>
      </c>
      <c r="B244" t="s">
        <v>27</v>
      </c>
      <c r="C244" s="2">
        <v>893</v>
      </c>
    </row>
    <row r="245" spans="1:3" x14ac:dyDescent="0.25">
      <c r="A245" s="6">
        <v>44537</v>
      </c>
      <c r="B245" t="s">
        <v>28</v>
      </c>
      <c r="C245" s="2">
        <v>903</v>
      </c>
    </row>
    <row r="246" spans="1:3" x14ac:dyDescent="0.25">
      <c r="A246" s="6">
        <v>44491</v>
      </c>
      <c r="B246" t="s">
        <v>25</v>
      </c>
      <c r="C246" s="2">
        <v>1192</v>
      </c>
    </row>
    <row r="247" spans="1:3" x14ac:dyDescent="0.25">
      <c r="A247" s="6">
        <v>44517</v>
      </c>
      <c r="B247" t="s">
        <v>27</v>
      </c>
      <c r="C247" s="2">
        <v>1035</v>
      </c>
    </row>
    <row r="248" spans="1:3" x14ac:dyDescent="0.25">
      <c r="A248" s="6">
        <v>44329</v>
      </c>
      <c r="B248" t="s">
        <v>26</v>
      </c>
      <c r="C248" s="2">
        <v>857</v>
      </c>
    </row>
    <row r="249" spans="1:3" x14ac:dyDescent="0.25">
      <c r="A249" s="6">
        <v>44273</v>
      </c>
      <c r="B249" t="s">
        <v>26</v>
      </c>
      <c r="C249" s="2">
        <v>827</v>
      </c>
    </row>
    <row r="250" spans="1:3" x14ac:dyDescent="0.25">
      <c r="A250" s="6">
        <v>44222</v>
      </c>
      <c r="B250" t="s">
        <v>25</v>
      </c>
      <c r="C250" s="2">
        <v>1145</v>
      </c>
    </row>
    <row r="251" spans="1:3" x14ac:dyDescent="0.25">
      <c r="A251" s="6">
        <v>44449</v>
      </c>
      <c r="B251" t="s">
        <v>27</v>
      </c>
      <c r="C251" s="2">
        <v>1136</v>
      </c>
    </row>
    <row r="252" spans="1:3" x14ac:dyDescent="0.25">
      <c r="A252" s="6">
        <v>44383</v>
      </c>
      <c r="B252" t="s">
        <v>28</v>
      </c>
      <c r="C252" s="2">
        <v>937</v>
      </c>
    </row>
    <row r="253" spans="1:3" x14ac:dyDescent="0.25">
      <c r="A253" s="6">
        <v>44481</v>
      </c>
      <c r="B253" t="s">
        <v>25</v>
      </c>
      <c r="C253" s="2">
        <v>1106</v>
      </c>
    </row>
    <row r="254" spans="1:3" x14ac:dyDescent="0.25">
      <c r="A254" s="6">
        <v>44357</v>
      </c>
      <c r="B254" t="s">
        <v>28</v>
      </c>
      <c r="C254" s="2">
        <v>914</v>
      </c>
    </row>
    <row r="255" spans="1:3" x14ac:dyDescent="0.25">
      <c r="A255" s="6">
        <v>44247</v>
      </c>
      <c r="B255" t="s">
        <v>26</v>
      </c>
      <c r="C255" s="2">
        <v>1077</v>
      </c>
    </row>
    <row r="256" spans="1:3" x14ac:dyDescent="0.25">
      <c r="A256" s="6">
        <v>44341</v>
      </c>
      <c r="B256" t="s">
        <v>28</v>
      </c>
      <c r="C256" s="2">
        <v>1093</v>
      </c>
    </row>
    <row r="257" spans="1:3" x14ac:dyDescent="0.25">
      <c r="A257" s="6">
        <v>44234</v>
      </c>
      <c r="B257" t="s">
        <v>28</v>
      </c>
      <c r="C257" s="2">
        <v>1021</v>
      </c>
    </row>
    <row r="258" spans="1:3" x14ac:dyDescent="0.25">
      <c r="A258" s="6">
        <v>44205</v>
      </c>
      <c r="B258" t="s">
        <v>28</v>
      </c>
      <c r="C258" s="2">
        <v>895</v>
      </c>
    </row>
    <row r="259" spans="1:3" x14ac:dyDescent="0.25">
      <c r="A259" s="6">
        <v>44320</v>
      </c>
      <c r="B259" t="s">
        <v>27</v>
      </c>
      <c r="C259" s="2">
        <v>1039</v>
      </c>
    </row>
    <row r="260" spans="1:3" x14ac:dyDescent="0.25">
      <c r="A260" s="6">
        <v>44364</v>
      </c>
      <c r="B260" t="s">
        <v>28</v>
      </c>
      <c r="C260" s="2">
        <v>889</v>
      </c>
    </row>
    <row r="261" spans="1:3" x14ac:dyDescent="0.25">
      <c r="A261" s="6">
        <v>44468</v>
      </c>
      <c r="B261" t="s">
        <v>28</v>
      </c>
      <c r="C261" s="2">
        <v>1032</v>
      </c>
    </row>
    <row r="262" spans="1:3" x14ac:dyDescent="0.25">
      <c r="A262" s="6">
        <v>44449</v>
      </c>
      <c r="B262" t="s">
        <v>26</v>
      </c>
      <c r="C262" s="2">
        <v>1189</v>
      </c>
    </row>
    <row r="263" spans="1:3" x14ac:dyDescent="0.25">
      <c r="A263" s="6">
        <v>44407</v>
      </c>
      <c r="B263" t="s">
        <v>27</v>
      </c>
      <c r="C263" s="2">
        <v>861</v>
      </c>
    </row>
    <row r="264" spans="1:3" x14ac:dyDescent="0.25">
      <c r="A264" s="6">
        <v>44482</v>
      </c>
      <c r="B264" t="s">
        <v>28</v>
      </c>
      <c r="C264" s="2">
        <v>1028</v>
      </c>
    </row>
    <row r="265" spans="1:3" x14ac:dyDescent="0.25">
      <c r="A265" s="6">
        <v>44258</v>
      </c>
      <c r="B265" t="s">
        <v>27</v>
      </c>
      <c r="C265" s="2">
        <v>1122</v>
      </c>
    </row>
    <row r="266" spans="1:3" x14ac:dyDescent="0.25">
      <c r="A266" s="6">
        <v>44528</v>
      </c>
      <c r="B266" t="s">
        <v>25</v>
      </c>
      <c r="C266" s="2">
        <v>1112</v>
      </c>
    </row>
    <row r="267" spans="1:3" x14ac:dyDescent="0.25">
      <c r="A267" s="6">
        <v>44490</v>
      </c>
      <c r="B267" t="s">
        <v>25</v>
      </c>
      <c r="C267" s="2">
        <v>980</v>
      </c>
    </row>
    <row r="268" spans="1:3" x14ac:dyDescent="0.25">
      <c r="A268" s="6">
        <v>44215</v>
      </c>
      <c r="B268" t="s">
        <v>25</v>
      </c>
      <c r="C268" s="2">
        <v>1191</v>
      </c>
    </row>
    <row r="269" spans="1:3" x14ac:dyDescent="0.25">
      <c r="A269" s="6">
        <v>44223</v>
      </c>
      <c r="B269" t="s">
        <v>28</v>
      </c>
      <c r="C269" s="2">
        <v>892</v>
      </c>
    </row>
    <row r="270" spans="1:3" x14ac:dyDescent="0.25">
      <c r="A270" s="6">
        <v>44258</v>
      </c>
      <c r="B270" t="s">
        <v>25</v>
      </c>
      <c r="C270" s="2">
        <v>838</v>
      </c>
    </row>
    <row r="271" spans="1:3" x14ac:dyDescent="0.25">
      <c r="A271" s="6">
        <v>44237</v>
      </c>
      <c r="B271" t="s">
        <v>28</v>
      </c>
      <c r="C271" s="2">
        <v>974</v>
      </c>
    </row>
    <row r="272" spans="1:3" x14ac:dyDescent="0.25">
      <c r="A272" s="6">
        <v>44366</v>
      </c>
      <c r="B272" t="s">
        <v>28</v>
      </c>
      <c r="C272" s="2">
        <v>1122</v>
      </c>
    </row>
    <row r="273" spans="1:3" x14ac:dyDescent="0.25">
      <c r="A273" s="6">
        <v>44513</v>
      </c>
      <c r="B273" t="s">
        <v>27</v>
      </c>
      <c r="C273" s="2">
        <v>1117</v>
      </c>
    </row>
    <row r="274" spans="1:3" x14ac:dyDescent="0.25">
      <c r="A274" s="6">
        <v>44296</v>
      </c>
      <c r="B274" t="s">
        <v>28</v>
      </c>
      <c r="C274" s="2">
        <v>812</v>
      </c>
    </row>
    <row r="275" spans="1:3" x14ac:dyDescent="0.25">
      <c r="A275" s="6">
        <v>44538</v>
      </c>
      <c r="B275" t="s">
        <v>26</v>
      </c>
      <c r="C275" s="2">
        <v>964</v>
      </c>
    </row>
    <row r="276" spans="1:3" x14ac:dyDescent="0.25">
      <c r="A276" s="6">
        <v>44425</v>
      </c>
      <c r="B276" t="s">
        <v>28</v>
      </c>
      <c r="C276" s="2">
        <v>902</v>
      </c>
    </row>
    <row r="277" spans="1:3" x14ac:dyDescent="0.25">
      <c r="A277" s="6">
        <v>44275</v>
      </c>
      <c r="B277" t="s">
        <v>28</v>
      </c>
      <c r="C277" s="2">
        <v>831</v>
      </c>
    </row>
    <row r="278" spans="1:3" x14ac:dyDescent="0.25">
      <c r="A278" s="6">
        <v>44490</v>
      </c>
      <c r="B278" t="s">
        <v>26</v>
      </c>
      <c r="C278" s="2">
        <v>955</v>
      </c>
    </row>
    <row r="279" spans="1:3" x14ac:dyDescent="0.25">
      <c r="A279" s="6">
        <v>44408</v>
      </c>
      <c r="B279" t="s">
        <v>27</v>
      </c>
      <c r="C279" s="2">
        <v>1083</v>
      </c>
    </row>
    <row r="280" spans="1:3" x14ac:dyDescent="0.25">
      <c r="A280" s="6">
        <v>44325</v>
      </c>
      <c r="B280" t="s">
        <v>26</v>
      </c>
      <c r="C280" s="2">
        <v>1047</v>
      </c>
    </row>
    <row r="281" spans="1:3" x14ac:dyDescent="0.25">
      <c r="A281" s="6">
        <v>44454</v>
      </c>
      <c r="B281" t="s">
        <v>25</v>
      </c>
      <c r="C281" s="2">
        <v>1056</v>
      </c>
    </row>
    <row r="282" spans="1:3" x14ac:dyDescent="0.25">
      <c r="A282" s="6">
        <v>44349</v>
      </c>
      <c r="B282" t="s">
        <v>28</v>
      </c>
      <c r="C282" s="2">
        <v>1107</v>
      </c>
    </row>
    <row r="283" spans="1:3" x14ac:dyDescent="0.25">
      <c r="A283" s="6">
        <v>44280</v>
      </c>
      <c r="B283" t="s">
        <v>26</v>
      </c>
      <c r="C283" s="2">
        <v>1182</v>
      </c>
    </row>
    <row r="284" spans="1:3" x14ac:dyDescent="0.25">
      <c r="A284" s="6">
        <v>44451</v>
      </c>
      <c r="B284" t="s">
        <v>25</v>
      </c>
      <c r="C284" s="2">
        <v>1199</v>
      </c>
    </row>
    <row r="285" spans="1:3" x14ac:dyDescent="0.25">
      <c r="A285" s="6">
        <v>44287</v>
      </c>
      <c r="B285" t="s">
        <v>28</v>
      </c>
      <c r="C285" s="2">
        <v>915</v>
      </c>
    </row>
    <row r="286" spans="1:3" x14ac:dyDescent="0.25">
      <c r="A286" s="6">
        <v>44305</v>
      </c>
      <c r="B286" t="s">
        <v>28</v>
      </c>
      <c r="C286" s="2">
        <v>893</v>
      </c>
    </row>
    <row r="287" spans="1:3" x14ac:dyDescent="0.25">
      <c r="A287" s="6">
        <v>44231</v>
      </c>
      <c r="B287" t="s">
        <v>27</v>
      </c>
      <c r="C287" s="2">
        <v>1179</v>
      </c>
    </row>
    <row r="288" spans="1:3" x14ac:dyDescent="0.25">
      <c r="A288" s="6">
        <v>44221</v>
      </c>
      <c r="B288" t="s">
        <v>27</v>
      </c>
      <c r="C288" s="2">
        <v>1158</v>
      </c>
    </row>
    <row r="289" spans="1:3" x14ac:dyDescent="0.25">
      <c r="A289" s="6">
        <v>44284</v>
      </c>
      <c r="B289" t="s">
        <v>27</v>
      </c>
      <c r="C289" s="2">
        <v>905</v>
      </c>
    </row>
    <row r="290" spans="1:3" x14ac:dyDescent="0.25">
      <c r="A290" s="6">
        <v>44368</v>
      </c>
      <c r="B290" t="s">
        <v>25</v>
      </c>
      <c r="C290" s="2">
        <v>1147</v>
      </c>
    </row>
    <row r="291" spans="1:3" x14ac:dyDescent="0.25">
      <c r="A291" s="6">
        <v>44415</v>
      </c>
      <c r="B291" t="s">
        <v>26</v>
      </c>
      <c r="C291" s="2">
        <v>992</v>
      </c>
    </row>
    <row r="292" spans="1:3" x14ac:dyDescent="0.25">
      <c r="A292" s="6">
        <v>44200</v>
      </c>
      <c r="B292" t="s">
        <v>28</v>
      </c>
      <c r="C292" s="2">
        <v>1173</v>
      </c>
    </row>
    <row r="293" spans="1:3" x14ac:dyDescent="0.25">
      <c r="A293" s="6">
        <v>44253</v>
      </c>
      <c r="B293" t="s">
        <v>26</v>
      </c>
      <c r="C293" s="2">
        <v>989</v>
      </c>
    </row>
    <row r="294" spans="1:3" x14ac:dyDescent="0.25">
      <c r="A294" s="6">
        <v>44433</v>
      </c>
      <c r="B294" t="s">
        <v>25</v>
      </c>
      <c r="C294" s="2">
        <v>894</v>
      </c>
    </row>
    <row r="295" spans="1:3" x14ac:dyDescent="0.25">
      <c r="A295" s="6">
        <v>44401</v>
      </c>
      <c r="B295" t="s">
        <v>25</v>
      </c>
      <c r="C295" s="2">
        <v>1011</v>
      </c>
    </row>
    <row r="296" spans="1:3" x14ac:dyDescent="0.25">
      <c r="A296" s="6">
        <v>44500</v>
      </c>
      <c r="B296" t="s">
        <v>28</v>
      </c>
      <c r="C296" s="2">
        <v>1050</v>
      </c>
    </row>
    <row r="297" spans="1:3" x14ac:dyDescent="0.25">
      <c r="A297" s="6">
        <v>44432</v>
      </c>
      <c r="B297" t="s">
        <v>25</v>
      </c>
      <c r="C297" s="2">
        <v>1158</v>
      </c>
    </row>
    <row r="298" spans="1:3" x14ac:dyDescent="0.25">
      <c r="A298" s="6">
        <v>44287</v>
      </c>
      <c r="B298" t="s">
        <v>26</v>
      </c>
      <c r="C298" s="2">
        <v>809</v>
      </c>
    </row>
    <row r="299" spans="1:3" x14ac:dyDescent="0.25">
      <c r="A299" s="6">
        <v>44518</v>
      </c>
      <c r="B299" t="s">
        <v>25</v>
      </c>
      <c r="C299" s="2">
        <v>1018</v>
      </c>
    </row>
    <row r="300" spans="1:3" x14ac:dyDescent="0.25">
      <c r="A300" s="6">
        <v>44411</v>
      </c>
      <c r="B300" t="s">
        <v>25</v>
      </c>
      <c r="C300" s="2">
        <v>824</v>
      </c>
    </row>
    <row r="301" spans="1:3" x14ac:dyDescent="0.25">
      <c r="A301" s="6">
        <v>44223</v>
      </c>
      <c r="B301" t="s">
        <v>27</v>
      </c>
      <c r="C301" s="2">
        <v>998</v>
      </c>
    </row>
    <row r="302" spans="1:3" x14ac:dyDescent="0.25">
      <c r="A302" s="6">
        <v>44477</v>
      </c>
      <c r="B302" t="s">
        <v>26</v>
      </c>
      <c r="C302" s="2">
        <v>989</v>
      </c>
    </row>
    <row r="303" spans="1:3" x14ac:dyDescent="0.25">
      <c r="A303" s="6">
        <v>44286</v>
      </c>
      <c r="B303" t="s">
        <v>26</v>
      </c>
      <c r="C303" s="2">
        <v>1039</v>
      </c>
    </row>
    <row r="304" spans="1:3" x14ac:dyDescent="0.25">
      <c r="A304" s="6">
        <v>44457</v>
      </c>
      <c r="B304" t="s">
        <v>26</v>
      </c>
      <c r="C304" s="2">
        <v>1077</v>
      </c>
    </row>
    <row r="305" spans="1:3" x14ac:dyDescent="0.25">
      <c r="A305" s="6">
        <v>44542</v>
      </c>
      <c r="B305" t="s">
        <v>25</v>
      </c>
      <c r="C305" s="2">
        <v>942</v>
      </c>
    </row>
    <row r="306" spans="1:3" x14ac:dyDescent="0.25">
      <c r="A306" s="6">
        <v>44346</v>
      </c>
      <c r="B306" t="s">
        <v>27</v>
      </c>
      <c r="C306" s="2">
        <v>819</v>
      </c>
    </row>
    <row r="307" spans="1:3" x14ac:dyDescent="0.25">
      <c r="A307" s="6">
        <v>44387</v>
      </c>
      <c r="B307" t="s">
        <v>25</v>
      </c>
      <c r="C307" s="2">
        <v>1155</v>
      </c>
    </row>
    <row r="308" spans="1:3" x14ac:dyDescent="0.25">
      <c r="A308" s="6">
        <v>44328</v>
      </c>
      <c r="B308" t="s">
        <v>28</v>
      </c>
      <c r="C308" s="2">
        <v>1141</v>
      </c>
    </row>
    <row r="309" spans="1:3" x14ac:dyDescent="0.25">
      <c r="A309" s="6">
        <v>44430</v>
      </c>
      <c r="B309" t="s">
        <v>25</v>
      </c>
      <c r="C309" s="2">
        <v>965</v>
      </c>
    </row>
    <row r="310" spans="1:3" x14ac:dyDescent="0.25">
      <c r="A310" s="6">
        <v>44400</v>
      </c>
      <c r="B310" t="s">
        <v>26</v>
      </c>
      <c r="C310" s="2">
        <v>960</v>
      </c>
    </row>
    <row r="311" spans="1:3" x14ac:dyDescent="0.25">
      <c r="A311" s="6">
        <v>44400</v>
      </c>
      <c r="B311" t="s">
        <v>27</v>
      </c>
      <c r="C311" s="2">
        <v>978</v>
      </c>
    </row>
    <row r="312" spans="1:3" x14ac:dyDescent="0.25">
      <c r="A312" s="6">
        <v>44456</v>
      </c>
      <c r="B312" t="s">
        <v>27</v>
      </c>
      <c r="C312" s="2">
        <v>1171</v>
      </c>
    </row>
    <row r="313" spans="1:3" x14ac:dyDescent="0.25">
      <c r="A313" s="6">
        <v>44265</v>
      </c>
      <c r="B313" t="s">
        <v>26</v>
      </c>
      <c r="C313" s="2">
        <v>985</v>
      </c>
    </row>
    <row r="314" spans="1:3" x14ac:dyDescent="0.25">
      <c r="A314" s="6">
        <v>44223</v>
      </c>
      <c r="B314" t="s">
        <v>25</v>
      </c>
      <c r="C314" s="2">
        <v>945</v>
      </c>
    </row>
    <row r="315" spans="1:3" x14ac:dyDescent="0.25">
      <c r="A315" s="6">
        <v>44240</v>
      </c>
      <c r="B315" t="s">
        <v>25</v>
      </c>
      <c r="C315" s="2">
        <v>1106</v>
      </c>
    </row>
    <row r="316" spans="1:3" x14ac:dyDescent="0.25">
      <c r="A316" s="6">
        <v>44466</v>
      </c>
      <c r="B316" t="s">
        <v>27</v>
      </c>
      <c r="C316" s="2">
        <v>851</v>
      </c>
    </row>
    <row r="317" spans="1:3" x14ac:dyDescent="0.25">
      <c r="A317" s="6">
        <v>44491</v>
      </c>
      <c r="B317" t="s">
        <v>28</v>
      </c>
      <c r="C317" s="2">
        <v>995</v>
      </c>
    </row>
    <row r="318" spans="1:3" x14ac:dyDescent="0.25">
      <c r="A318" s="6">
        <v>44378</v>
      </c>
      <c r="B318" t="s">
        <v>27</v>
      </c>
      <c r="C318" s="2">
        <v>1177</v>
      </c>
    </row>
    <row r="319" spans="1:3" x14ac:dyDescent="0.25">
      <c r="A319" s="6">
        <v>44217</v>
      </c>
      <c r="B319" t="s">
        <v>25</v>
      </c>
      <c r="C319" s="2">
        <v>902</v>
      </c>
    </row>
    <row r="320" spans="1:3" x14ac:dyDescent="0.25">
      <c r="A320" s="6">
        <v>44281</v>
      </c>
      <c r="B320" t="s">
        <v>27</v>
      </c>
      <c r="C320" s="2">
        <v>932</v>
      </c>
    </row>
    <row r="321" spans="1:3" x14ac:dyDescent="0.25">
      <c r="A321" s="6">
        <v>44292</v>
      </c>
      <c r="B321" t="s">
        <v>28</v>
      </c>
      <c r="C321" s="2">
        <v>1164</v>
      </c>
    </row>
    <row r="322" spans="1:3" x14ac:dyDescent="0.25">
      <c r="A322" s="6">
        <v>44279</v>
      </c>
      <c r="B322" t="s">
        <v>27</v>
      </c>
      <c r="C322" s="2">
        <v>1046</v>
      </c>
    </row>
    <row r="323" spans="1:3" x14ac:dyDescent="0.25">
      <c r="A323" s="6">
        <v>44259</v>
      </c>
      <c r="B323" t="s">
        <v>27</v>
      </c>
      <c r="C323" s="2">
        <v>1045</v>
      </c>
    </row>
    <row r="324" spans="1:3" x14ac:dyDescent="0.25">
      <c r="A324" s="6">
        <v>44246</v>
      </c>
      <c r="B324" t="s">
        <v>27</v>
      </c>
      <c r="C324" s="2">
        <v>1058</v>
      </c>
    </row>
    <row r="325" spans="1:3" x14ac:dyDescent="0.25">
      <c r="A325" s="6">
        <v>44245</v>
      </c>
      <c r="B325" t="s">
        <v>27</v>
      </c>
      <c r="C325" s="2">
        <v>1029</v>
      </c>
    </row>
    <row r="326" spans="1:3" x14ac:dyDescent="0.25">
      <c r="A326" s="6">
        <v>44381</v>
      </c>
      <c r="B326" t="s">
        <v>26</v>
      </c>
      <c r="C326" s="2">
        <v>879</v>
      </c>
    </row>
    <row r="327" spans="1:3" x14ac:dyDescent="0.25">
      <c r="A327" s="6">
        <v>44526</v>
      </c>
      <c r="B327" t="s">
        <v>27</v>
      </c>
      <c r="C327" s="2">
        <v>1103</v>
      </c>
    </row>
    <row r="328" spans="1:3" x14ac:dyDescent="0.25">
      <c r="A328" s="6">
        <v>44502</v>
      </c>
      <c r="B328" t="s">
        <v>27</v>
      </c>
      <c r="C328" s="2">
        <v>1189</v>
      </c>
    </row>
    <row r="329" spans="1:3" x14ac:dyDescent="0.25">
      <c r="A329" s="6">
        <v>44367</v>
      </c>
      <c r="B329" t="s">
        <v>27</v>
      </c>
      <c r="C329" s="2">
        <v>1084</v>
      </c>
    </row>
    <row r="330" spans="1:3" x14ac:dyDescent="0.25">
      <c r="A330" s="6">
        <v>44406</v>
      </c>
      <c r="B330" t="s">
        <v>26</v>
      </c>
      <c r="C330" s="2">
        <v>1020</v>
      </c>
    </row>
    <row r="331" spans="1:3" x14ac:dyDescent="0.25">
      <c r="A331" s="6">
        <v>44555</v>
      </c>
      <c r="B331" t="s">
        <v>25</v>
      </c>
      <c r="C331" s="2">
        <v>1044</v>
      </c>
    </row>
    <row r="332" spans="1:3" x14ac:dyDescent="0.25">
      <c r="A332" s="6">
        <v>44287</v>
      </c>
      <c r="B332" t="s">
        <v>28</v>
      </c>
      <c r="C332" s="2">
        <v>929</v>
      </c>
    </row>
    <row r="333" spans="1:3" x14ac:dyDescent="0.25">
      <c r="A333" s="6">
        <v>44215</v>
      </c>
      <c r="B333" t="s">
        <v>26</v>
      </c>
      <c r="C333" s="2">
        <v>1110</v>
      </c>
    </row>
    <row r="334" spans="1:3" x14ac:dyDescent="0.25">
      <c r="A334" s="6">
        <v>44462</v>
      </c>
      <c r="B334" t="s">
        <v>26</v>
      </c>
      <c r="C334" s="2">
        <v>1143</v>
      </c>
    </row>
    <row r="335" spans="1:3" x14ac:dyDescent="0.25">
      <c r="A335" s="6">
        <v>44406</v>
      </c>
      <c r="B335" t="s">
        <v>25</v>
      </c>
      <c r="C335" s="2">
        <v>1071</v>
      </c>
    </row>
    <row r="336" spans="1:3" x14ac:dyDescent="0.25">
      <c r="A336" s="6">
        <v>44382</v>
      </c>
      <c r="B336" t="s">
        <v>28</v>
      </c>
      <c r="C336" s="2">
        <v>858</v>
      </c>
    </row>
    <row r="337" spans="1:3" x14ac:dyDescent="0.25">
      <c r="A337" s="6">
        <v>44219</v>
      </c>
      <c r="B337" t="s">
        <v>25</v>
      </c>
      <c r="C337" s="2">
        <v>1045</v>
      </c>
    </row>
    <row r="338" spans="1:3" x14ac:dyDescent="0.25">
      <c r="A338" s="6">
        <v>44553</v>
      </c>
      <c r="B338" t="s">
        <v>28</v>
      </c>
      <c r="C338" s="2">
        <v>841</v>
      </c>
    </row>
    <row r="339" spans="1:3" x14ac:dyDescent="0.25">
      <c r="A339" s="6">
        <v>44348</v>
      </c>
      <c r="B339" t="s">
        <v>28</v>
      </c>
      <c r="C339" s="2">
        <v>1056</v>
      </c>
    </row>
    <row r="340" spans="1:3" x14ac:dyDescent="0.25">
      <c r="A340" s="6">
        <v>44202</v>
      </c>
      <c r="B340" t="s">
        <v>27</v>
      </c>
      <c r="C340" s="2">
        <v>877</v>
      </c>
    </row>
    <row r="341" spans="1:3" x14ac:dyDescent="0.25">
      <c r="A341" s="6">
        <v>44457</v>
      </c>
      <c r="B341" t="s">
        <v>26</v>
      </c>
      <c r="C341" s="2">
        <v>1063</v>
      </c>
    </row>
    <row r="342" spans="1:3" x14ac:dyDescent="0.25">
      <c r="A342" s="6">
        <v>44357</v>
      </c>
      <c r="B342" t="s">
        <v>28</v>
      </c>
      <c r="C342" s="2">
        <v>1193</v>
      </c>
    </row>
    <row r="343" spans="1:3" x14ac:dyDescent="0.25">
      <c r="A343" s="6">
        <v>44450</v>
      </c>
      <c r="B343" t="s">
        <v>28</v>
      </c>
      <c r="C343" s="2">
        <v>857</v>
      </c>
    </row>
    <row r="344" spans="1:3" x14ac:dyDescent="0.25">
      <c r="A344" s="6">
        <v>44260</v>
      </c>
      <c r="B344" t="s">
        <v>27</v>
      </c>
      <c r="C344" s="2">
        <v>802</v>
      </c>
    </row>
    <row r="345" spans="1:3" x14ac:dyDescent="0.25">
      <c r="A345" s="6">
        <v>44453</v>
      </c>
      <c r="B345" t="s">
        <v>27</v>
      </c>
      <c r="C345" s="2">
        <v>919</v>
      </c>
    </row>
    <row r="346" spans="1:3" x14ac:dyDescent="0.25">
      <c r="A346" s="6">
        <v>44225</v>
      </c>
      <c r="B346" t="s">
        <v>25</v>
      </c>
      <c r="C346" s="2">
        <v>1136</v>
      </c>
    </row>
    <row r="347" spans="1:3" x14ac:dyDescent="0.25">
      <c r="A347" s="6">
        <v>44288</v>
      </c>
      <c r="B347" t="s">
        <v>26</v>
      </c>
      <c r="C347" s="2">
        <v>818</v>
      </c>
    </row>
    <row r="348" spans="1:3" x14ac:dyDescent="0.25">
      <c r="A348" s="6">
        <v>44419</v>
      </c>
      <c r="B348" t="s">
        <v>28</v>
      </c>
      <c r="C348" s="2">
        <v>979</v>
      </c>
    </row>
    <row r="349" spans="1:3" x14ac:dyDescent="0.25">
      <c r="A349" s="6">
        <v>44506</v>
      </c>
      <c r="B349" t="s">
        <v>28</v>
      </c>
      <c r="C349" s="2">
        <v>1151</v>
      </c>
    </row>
    <row r="350" spans="1:3" x14ac:dyDescent="0.25">
      <c r="A350" s="6">
        <v>44507</v>
      </c>
      <c r="B350" t="s">
        <v>27</v>
      </c>
      <c r="C350" s="2">
        <v>1179</v>
      </c>
    </row>
    <row r="351" spans="1:3" x14ac:dyDescent="0.25">
      <c r="A351" s="6">
        <v>44485</v>
      </c>
      <c r="B351" t="s">
        <v>25</v>
      </c>
      <c r="C351" s="2">
        <v>938</v>
      </c>
    </row>
    <row r="352" spans="1:3" x14ac:dyDescent="0.25">
      <c r="A352" s="6">
        <v>44249</v>
      </c>
      <c r="B352" t="s">
        <v>26</v>
      </c>
      <c r="C352" s="2">
        <v>1015</v>
      </c>
    </row>
    <row r="353" spans="1:3" x14ac:dyDescent="0.25">
      <c r="A353" s="6">
        <v>44550</v>
      </c>
      <c r="B353" t="s">
        <v>26</v>
      </c>
      <c r="C353" s="2">
        <v>1150</v>
      </c>
    </row>
    <row r="354" spans="1:3" x14ac:dyDescent="0.25">
      <c r="A354" s="6">
        <v>44469</v>
      </c>
      <c r="B354" t="s">
        <v>26</v>
      </c>
      <c r="C354" s="2">
        <v>1189</v>
      </c>
    </row>
    <row r="355" spans="1:3" x14ac:dyDescent="0.25">
      <c r="A355" s="6">
        <v>44489</v>
      </c>
      <c r="B355" t="s">
        <v>28</v>
      </c>
      <c r="C355" s="2">
        <v>1019</v>
      </c>
    </row>
    <row r="356" spans="1:3" x14ac:dyDescent="0.25">
      <c r="A356" s="6">
        <v>44303</v>
      </c>
      <c r="B356" t="s">
        <v>26</v>
      </c>
      <c r="C356" s="2">
        <v>1076</v>
      </c>
    </row>
    <row r="357" spans="1:3" x14ac:dyDescent="0.25">
      <c r="A357" s="6">
        <v>44459</v>
      </c>
      <c r="B357" t="s">
        <v>28</v>
      </c>
      <c r="C357" s="2">
        <v>1107</v>
      </c>
    </row>
    <row r="358" spans="1:3" x14ac:dyDescent="0.25">
      <c r="A358" s="6">
        <v>44370</v>
      </c>
      <c r="B358" t="s">
        <v>27</v>
      </c>
      <c r="C358" s="2">
        <v>956</v>
      </c>
    </row>
    <row r="359" spans="1:3" x14ac:dyDescent="0.25">
      <c r="A359" s="6">
        <v>44228</v>
      </c>
      <c r="B359" t="s">
        <v>26</v>
      </c>
      <c r="C359" s="2">
        <v>1149</v>
      </c>
    </row>
    <row r="360" spans="1:3" x14ac:dyDescent="0.25">
      <c r="A360" s="6">
        <v>44393</v>
      </c>
      <c r="B360" t="s">
        <v>25</v>
      </c>
      <c r="C360" s="2">
        <v>805</v>
      </c>
    </row>
    <row r="361" spans="1:3" x14ac:dyDescent="0.25">
      <c r="A361" s="6">
        <v>44218</v>
      </c>
      <c r="B361" t="s">
        <v>26</v>
      </c>
      <c r="C361" s="2">
        <v>1193</v>
      </c>
    </row>
    <row r="362" spans="1:3" x14ac:dyDescent="0.25">
      <c r="A362" s="6">
        <v>44271</v>
      </c>
      <c r="B362" t="s">
        <v>27</v>
      </c>
      <c r="C362" s="2">
        <v>915</v>
      </c>
    </row>
    <row r="363" spans="1:3" x14ac:dyDescent="0.25">
      <c r="A363" s="6">
        <v>44348</v>
      </c>
      <c r="B363" t="s">
        <v>27</v>
      </c>
      <c r="C363" s="2">
        <v>947</v>
      </c>
    </row>
    <row r="364" spans="1:3" x14ac:dyDescent="0.25">
      <c r="A364" s="6">
        <v>44469</v>
      </c>
      <c r="B364" t="s">
        <v>28</v>
      </c>
      <c r="C364" s="2">
        <v>1096</v>
      </c>
    </row>
    <row r="365" spans="1:3" x14ac:dyDescent="0.25">
      <c r="A365" s="6">
        <v>44480</v>
      </c>
      <c r="B365" t="s">
        <v>27</v>
      </c>
      <c r="C365" s="2">
        <v>1061</v>
      </c>
    </row>
    <row r="366" spans="1:3" x14ac:dyDescent="0.25">
      <c r="A366" s="6">
        <v>44495</v>
      </c>
      <c r="B366" t="s">
        <v>27</v>
      </c>
      <c r="C366" s="2">
        <v>1083</v>
      </c>
    </row>
    <row r="367" spans="1:3" x14ac:dyDescent="0.25">
      <c r="A367" s="6">
        <v>44302</v>
      </c>
      <c r="B367" t="s">
        <v>25</v>
      </c>
      <c r="C367" s="2">
        <v>1100</v>
      </c>
    </row>
    <row r="368" spans="1:3" x14ac:dyDescent="0.25">
      <c r="A368" s="6">
        <v>44503</v>
      </c>
      <c r="B368" t="s">
        <v>27</v>
      </c>
      <c r="C368" s="2">
        <v>1025</v>
      </c>
    </row>
    <row r="369" spans="1:3" x14ac:dyDescent="0.25">
      <c r="A369" s="6">
        <v>44476</v>
      </c>
      <c r="B369" t="s">
        <v>28</v>
      </c>
      <c r="C369" s="2">
        <v>873</v>
      </c>
    </row>
    <row r="370" spans="1:3" x14ac:dyDescent="0.25">
      <c r="A370" s="6">
        <v>44316</v>
      </c>
      <c r="B370" t="s">
        <v>26</v>
      </c>
      <c r="C370" s="2">
        <v>1008</v>
      </c>
    </row>
    <row r="371" spans="1:3" x14ac:dyDescent="0.25">
      <c r="A371" s="6">
        <v>44452</v>
      </c>
      <c r="B371" t="s">
        <v>25</v>
      </c>
      <c r="C371" s="2">
        <v>817</v>
      </c>
    </row>
    <row r="372" spans="1:3" x14ac:dyDescent="0.25">
      <c r="A372" s="6">
        <v>44462</v>
      </c>
      <c r="B372" t="s">
        <v>27</v>
      </c>
      <c r="C372" s="2">
        <v>1173</v>
      </c>
    </row>
    <row r="373" spans="1:3" x14ac:dyDescent="0.25">
      <c r="A373" s="6">
        <v>44442</v>
      </c>
      <c r="B373" t="s">
        <v>27</v>
      </c>
      <c r="C373" s="2">
        <v>937</v>
      </c>
    </row>
    <row r="374" spans="1:3" x14ac:dyDescent="0.25">
      <c r="A374" s="6">
        <v>44360</v>
      </c>
      <c r="B374" t="s">
        <v>25</v>
      </c>
      <c r="C374" s="2">
        <v>902</v>
      </c>
    </row>
    <row r="375" spans="1:3" x14ac:dyDescent="0.25">
      <c r="A375" s="6">
        <v>44261</v>
      </c>
      <c r="B375" t="s">
        <v>27</v>
      </c>
      <c r="C375" s="2">
        <v>1200</v>
      </c>
    </row>
    <row r="376" spans="1:3" x14ac:dyDescent="0.25">
      <c r="A376" s="6">
        <v>44482</v>
      </c>
      <c r="B376" t="s">
        <v>27</v>
      </c>
      <c r="C376" s="2">
        <v>1002</v>
      </c>
    </row>
    <row r="377" spans="1:3" x14ac:dyDescent="0.25">
      <c r="A377" s="6">
        <v>44206</v>
      </c>
      <c r="B377" t="s">
        <v>25</v>
      </c>
      <c r="C377" s="2">
        <v>1002</v>
      </c>
    </row>
    <row r="378" spans="1:3" x14ac:dyDescent="0.25">
      <c r="A378" s="6">
        <v>44419</v>
      </c>
      <c r="B378" t="s">
        <v>27</v>
      </c>
      <c r="C378" s="2">
        <v>834</v>
      </c>
    </row>
    <row r="379" spans="1:3" x14ac:dyDescent="0.25">
      <c r="A379" s="6">
        <v>44232</v>
      </c>
      <c r="B379" t="s">
        <v>25</v>
      </c>
      <c r="C379" s="2">
        <v>933</v>
      </c>
    </row>
    <row r="380" spans="1:3" x14ac:dyDescent="0.25">
      <c r="A380" s="6">
        <v>44554</v>
      </c>
      <c r="B380" t="s">
        <v>26</v>
      </c>
      <c r="C380" s="2">
        <v>1056</v>
      </c>
    </row>
    <row r="381" spans="1:3" x14ac:dyDescent="0.25">
      <c r="A381" s="6">
        <v>44509</v>
      </c>
      <c r="B381" t="s">
        <v>28</v>
      </c>
      <c r="C381" s="2">
        <v>898</v>
      </c>
    </row>
    <row r="382" spans="1:3" x14ac:dyDescent="0.25">
      <c r="A382" s="6">
        <v>44199</v>
      </c>
      <c r="B382" t="s">
        <v>28</v>
      </c>
      <c r="C382" s="2">
        <v>1072</v>
      </c>
    </row>
    <row r="383" spans="1:3" x14ac:dyDescent="0.25">
      <c r="A383" s="6">
        <v>44391</v>
      </c>
      <c r="B383" t="s">
        <v>27</v>
      </c>
      <c r="C383" s="2">
        <v>865</v>
      </c>
    </row>
    <row r="384" spans="1:3" x14ac:dyDescent="0.25">
      <c r="A384" s="6">
        <v>44227</v>
      </c>
      <c r="B384" t="s">
        <v>26</v>
      </c>
      <c r="C384" s="2">
        <v>839</v>
      </c>
    </row>
    <row r="385" spans="1:3" x14ac:dyDescent="0.25">
      <c r="A385" s="6">
        <v>44430</v>
      </c>
      <c r="B385" t="s">
        <v>27</v>
      </c>
      <c r="C385" s="2">
        <v>866</v>
      </c>
    </row>
    <row r="386" spans="1:3" x14ac:dyDescent="0.25">
      <c r="A386" s="6">
        <v>44354</v>
      </c>
      <c r="B386" t="s">
        <v>26</v>
      </c>
      <c r="C386" s="2">
        <v>1053</v>
      </c>
    </row>
    <row r="387" spans="1:3" x14ac:dyDescent="0.25">
      <c r="A387" s="6">
        <v>44311</v>
      </c>
      <c r="B387" t="s">
        <v>27</v>
      </c>
      <c r="C387" s="2">
        <v>1156</v>
      </c>
    </row>
    <row r="388" spans="1:3" x14ac:dyDescent="0.25">
      <c r="A388" s="6">
        <v>44517</v>
      </c>
      <c r="B388" t="s">
        <v>28</v>
      </c>
      <c r="C388" s="2">
        <v>801</v>
      </c>
    </row>
    <row r="389" spans="1:3" x14ac:dyDescent="0.25">
      <c r="A389" s="6">
        <v>44200</v>
      </c>
      <c r="B389" t="s">
        <v>25</v>
      </c>
      <c r="C389" s="2">
        <v>1016</v>
      </c>
    </row>
    <row r="390" spans="1:3" x14ac:dyDescent="0.25">
      <c r="A390" s="6">
        <v>44472</v>
      </c>
      <c r="B390" t="s">
        <v>28</v>
      </c>
      <c r="C390" s="2">
        <v>971</v>
      </c>
    </row>
    <row r="391" spans="1:3" x14ac:dyDescent="0.25">
      <c r="A391" s="6">
        <v>44224</v>
      </c>
      <c r="B391" t="s">
        <v>27</v>
      </c>
      <c r="C391" s="2">
        <v>1200</v>
      </c>
    </row>
    <row r="392" spans="1:3" x14ac:dyDescent="0.25">
      <c r="A392" s="6">
        <v>44540</v>
      </c>
      <c r="B392" t="s">
        <v>28</v>
      </c>
      <c r="C392" s="2">
        <v>865</v>
      </c>
    </row>
    <row r="393" spans="1:3" x14ac:dyDescent="0.25">
      <c r="A393" s="6">
        <v>44538</v>
      </c>
      <c r="B393" t="s">
        <v>28</v>
      </c>
      <c r="C393" s="2">
        <v>802</v>
      </c>
    </row>
    <row r="394" spans="1:3" x14ac:dyDescent="0.25">
      <c r="A394" s="6">
        <v>44324</v>
      </c>
      <c r="B394" t="s">
        <v>26</v>
      </c>
      <c r="C394" s="2">
        <v>855</v>
      </c>
    </row>
    <row r="395" spans="1:3" x14ac:dyDescent="0.25">
      <c r="A395" s="6">
        <v>44493</v>
      </c>
      <c r="B395" t="s">
        <v>25</v>
      </c>
      <c r="C395" s="2">
        <v>921</v>
      </c>
    </row>
    <row r="396" spans="1:3" x14ac:dyDescent="0.25">
      <c r="A396" s="6">
        <v>44217</v>
      </c>
      <c r="B396" t="s">
        <v>25</v>
      </c>
      <c r="C396" s="2">
        <v>890</v>
      </c>
    </row>
    <row r="397" spans="1:3" x14ac:dyDescent="0.25">
      <c r="A397" s="6">
        <v>44371</v>
      </c>
      <c r="B397" t="s">
        <v>27</v>
      </c>
      <c r="C397" s="2">
        <v>915</v>
      </c>
    </row>
    <row r="398" spans="1:3" x14ac:dyDescent="0.25">
      <c r="A398" s="6">
        <v>44365</v>
      </c>
      <c r="B398" t="s">
        <v>25</v>
      </c>
      <c r="C398" s="2">
        <v>917</v>
      </c>
    </row>
    <row r="399" spans="1:3" x14ac:dyDescent="0.25">
      <c r="A399" s="6">
        <v>44216</v>
      </c>
      <c r="B399" t="s">
        <v>27</v>
      </c>
      <c r="C399" s="2">
        <v>886</v>
      </c>
    </row>
    <row r="400" spans="1:3" x14ac:dyDescent="0.25">
      <c r="A400" s="6">
        <v>44405</v>
      </c>
      <c r="B400" t="s">
        <v>27</v>
      </c>
      <c r="C400" s="2">
        <v>1103</v>
      </c>
    </row>
    <row r="401" spans="1:3" x14ac:dyDescent="0.25">
      <c r="A401" s="6">
        <v>44485</v>
      </c>
      <c r="B401" t="s">
        <v>28</v>
      </c>
      <c r="C401" s="2">
        <v>1081</v>
      </c>
    </row>
    <row r="402" spans="1:3" x14ac:dyDescent="0.25">
      <c r="A402" s="6">
        <v>44263</v>
      </c>
      <c r="B402" t="s">
        <v>27</v>
      </c>
      <c r="C402" s="2">
        <v>1152</v>
      </c>
    </row>
    <row r="403" spans="1:3" x14ac:dyDescent="0.25">
      <c r="A403" s="6">
        <v>44201</v>
      </c>
      <c r="B403" t="s">
        <v>27</v>
      </c>
      <c r="C403" s="2">
        <v>899</v>
      </c>
    </row>
    <row r="404" spans="1:3" x14ac:dyDescent="0.25">
      <c r="A404" s="6">
        <v>44235</v>
      </c>
      <c r="B404" t="s">
        <v>28</v>
      </c>
      <c r="C404" s="2">
        <v>921</v>
      </c>
    </row>
    <row r="405" spans="1:3" x14ac:dyDescent="0.25">
      <c r="A405" s="6">
        <v>44486</v>
      </c>
      <c r="B405" t="s">
        <v>28</v>
      </c>
      <c r="C405" s="2">
        <v>847</v>
      </c>
    </row>
    <row r="406" spans="1:3" x14ac:dyDescent="0.25">
      <c r="A406" s="6">
        <v>44246</v>
      </c>
      <c r="B406" t="s">
        <v>28</v>
      </c>
      <c r="C406" s="2">
        <v>867</v>
      </c>
    </row>
    <row r="407" spans="1:3" x14ac:dyDescent="0.25">
      <c r="A407" s="6">
        <v>44348</v>
      </c>
      <c r="B407" t="s">
        <v>25</v>
      </c>
      <c r="C407" s="2">
        <v>900</v>
      </c>
    </row>
    <row r="408" spans="1:3" x14ac:dyDescent="0.25">
      <c r="A408" s="6">
        <v>44554</v>
      </c>
      <c r="B408" t="s">
        <v>25</v>
      </c>
      <c r="C408" s="2">
        <v>867</v>
      </c>
    </row>
    <row r="409" spans="1:3" x14ac:dyDescent="0.25">
      <c r="A409" s="6">
        <v>44380</v>
      </c>
      <c r="B409" t="s">
        <v>27</v>
      </c>
      <c r="C409" s="2">
        <v>948</v>
      </c>
    </row>
    <row r="410" spans="1:3" x14ac:dyDescent="0.25">
      <c r="A410" s="6">
        <v>44554</v>
      </c>
      <c r="B410" t="s">
        <v>28</v>
      </c>
      <c r="C410" s="2">
        <v>1131</v>
      </c>
    </row>
    <row r="411" spans="1:3" x14ac:dyDescent="0.25">
      <c r="A411" s="6">
        <v>44326</v>
      </c>
      <c r="B411" t="s">
        <v>27</v>
      </c>
      <c r="C411" s="2">
        <v>993</v>
      </c>
    </row>
    <row r="412" spans="1:3" x14ac:dyDescent="0.25">
      <c r="A412" s="6">
        <v>44246</v>
      </c>
      <c r="B412" t="s">
        <v>26</v>
      </c>
      <c r="C412" s="2">
        <v>912</v>
      </c>
    </row>
    <row r="413" spans="1:3" x14ac:dyDescent="0.25">
      <c r="A413" s="6">
        <v>44288</v>
      </c>
      <c r="B413" t="s">
        <v>27</v>
      </c>
      <c r="C413" s="2">
        <v>1123</v>
      </c>
    </row>
    <row r="414" spans="1:3" x14ac:dyDescent="0.25">
      <c r="A414" s="6">
        <v>44343</v>
      </c>
      <c r="B414" t="s">
        <v>25</v>
      </c>
      <c r="C414" s="2">
        <v>1102</v>
      </c>
    </row>
    <row r="415" spans="1:3" x14ac:dyDescent="0.25">
      <c r="A415" s="6">
        <v>44486</v>
      </c>
      <c r="B415" t="s">
        <v>28</v>
      </c>
      <c r="C415" s="2">
        <v>917</v>
      </c>
    </row>
    <row r="416" spans="1:3" x14ac:dyDescent="0.25">
      <c r="A416" s="6">
        <v>44491</v>
      </c>
      <c r="B416" t="s">
        <v>28</v>
      </c>
      <c r="C416" s="2">
        <v>1187</v>
      </c>
    </row>
    <row r="417" spans="1:3" x14ac:dyDescent="0.25">
      <c r="A417" s="6">
        <v>44229</v>
      </c>
      <c r="B417" t="s">
        <v>28</v>
      </c>
      <c r="C417" s="2">
        <v>1021</v>
      </c>
    </row>
    <row r="418" spans="1:3" x14ac:dyDescent="0.25">
      <c r="A418" s="6">
        <v>44443</v>
      </c>
      <c r="B418" t="s">
        <v>28</v>
      </c>
      <c r="C418" s="2">
        <v>938</v>
      </c>
    </row>
    <row r="419" spans="1:3" x14ac:dyDescent="0.25">
      <c r="A419" s="6">
        <v>44385</v>
      </c>
      <c r="B419" t="s">
        <v>25</v>
      </c>
      <c r="C419" s="2">
        <v>1127</v>
      </c>
    </row>
    <row r="420" spans="1:3" x14ac:dyDescent="0.25">
      <c r="A420" s="6">
        <v>44317</v>
      </c>
      <c r="B420" t="s">
        <v>27</v>
      </c>
      <c r="C420" s="2">
        <v>1018</v>
      </c>
    </row>
    <row r="421" spans="1:3" x14ac:dyDescent="0.25">
      <c r="A421" s="6">
        <v>44209</v>
      </c>
      <c r="B421" t="s">
        <v>28</v>
      </c>
      <c r="C421" s="2">
        <v>1179</v>
      </c>
    </row>
    <row r="422" spans="1:3" x14ac:dyDescent="0.25">
      <c r="A422" s="6">
        <v>44387</v>
      </c>
      <c r="B422" t="s">
        <v>26</v>
      </c>
      <c r="C422" s="2">
        <v>978</v>
      </c>
    </row>
    <row r="423" spans="1:3" x14ac:dyDescent="0.25">
      <c r="A423" s="6">
        <v>44455</v>
      </c>
      <c r="B423" t="s">
        <v>28</v>
      </c>
      <c r="C423" s="2">
        <v>1016</v>
      </c>
    </row>
    <row r="424" spans="1:3" x14ac:dyDescent="0.25">
      <c r="A424" s="6">
        <v>44275</v>
      </c>
      <c r="B424" t="s">
        <v>28</v>
      </c>
      <c r="C424" s="2">
        <v>940</v>
      </c>
    </row>
    <row r="425" spans="1:3" x14ac:dyDescent="0.25">
      <c r="A425" s="6">
        <v>44477</v>
      </c>
      <c r="B425" t="s">
        <v>28</v>
      </c>
      <c r="C425" s="2">
        <v>967</v>
      </c>
    </row>
    <row r="426" spans="1:3" x14ac:dyDescent="0.25">
      <c r="A426" s="6">
        <v>44465</v>
      </c>
      <c r="B426" t="s">
        <v>25</v>
      </c>
      <c r="C426" s="2">
        <v>1107</v>
      </c>
    </row>
    <row r="427" spans="1:3" x14ac:dyDescent="0.25">
      <c r="A427" s="6">
        <v>44276</v>
      </c>
      <c r="B427" t="s">
        <v>25</v>
      </c>
      <c r="C427" s="2">
        <v>901</v>
      </c>
    </row>
    <row r="428" spans="1:3" x14ac:dyDescent="0.25">
      <c r="A428" s="6">
        <v>44533</v>
      </c>
      <c r="B428" t="s">
        <v>25</v>
      </c>
      <c r="C428" s="2">
        <v>962</v>
      </c>
    </row>
    <row r="429" spans="1:3" x14ac:dyDescent="0.25">
      <c r="A429" s="6">
        <v>44464</v>
      </c>
      <c r="B429" t="s">
        <v>28</v>
      </c>
      <c r="C429" s="2">
        <v>1176</v>
      </c>
    </row>
    <row r="430" spans="1:3" x14ac:dyDescent="0.25">
      <c r="A430" s="6">
        <v>44383</v>
      </c>
      <c r="B430" t="s">
        <v>28</v>
      </c>
      <c r="C430" s="2">
        <v>915</v>
      </c>
    </row>
    <row r="431" spans="1:3" x14ac:dyDescent="0.25">
      <c r="A431" s="6">
        <v>44295</v>
      </c>
      <c r="B431" t="s">
        <v>25</v>
      </c>
      <c r="C431" s="2">
        <v>803</v>
      </c>
    </row>
    <row r="432" spans="1:3" x14ac:dyDescent="0.25">
      <c r="A432" s="6">
        <v>44388</v>
      </c>
      <c r="B432" t="s">
        <v>25</v>
      </c>
      <c r="C432" s="2">
        <v>996</v>
      </c>
    </row>
    <row r="433" spans="1:3" x14ac:dyDescent="0.25">
      <c r="A433" s="6">
        <v>44320</v>
      </c>
      <c r="B433" t="s">
        <v>25</v>
      </c>
      <c r="C433" s="2">
        <v>924</v>
      </c>
    </row>
    <row r="434" spans="1:3" x14ac:dyDescent="0.25">
      <c r="A434" s="6">
        <v>44502</v>
      </c>
      <c r="B434" t="s">
        <v>28</v>
      </c>
      <c r="C434" s="2">
        <v>1181</v>
      </c>
    </row>
    <row r="435" spans="1:3" x14ac:dyDescent="0.25">
      <c r="A435" s="6">
        <v>44305</v>
      </c>
      <c r="B435" t="s">
        <v>25</v>
      </c>
      <c r="C435" s="2">
        <v>1180</v>
      </c>
    </row>
    <row r="436" spans="1:3" x14ac:dyDescent="0.25">
      <c r="A436" s="6">
        <v>44217</v>
      </c>
      <c r="B436" t="s">
        <v>27</v>
      </c>
      <c r="C436" s="2">
        <v>854</v>
      </c>
    </row>
    <row r="437" spans="1:3" x14ac:dyDescent="0.25">
      <c r="A437" s="6">
        <v>44254</v>
      </c>
      <c r="B437" t="s">
        <v>28</v>
      </c>
      <c r="C437" s="2">
        <v>1035</v>
      </c>
    </row>
    <row r="438" spans="1:3" x14ac:dyDescent="0.25">
      <c r="A438" s="6">
        <v>44535</v>
      </c>
      <c r="B438" t="s">
        <v>27</v>
      </c>
      <c r="C438" s="2">
        <v>1070</v>
      </c>
    </row>
    <row r="439" spans="1:3" x14ac:dyDescent="0.25">
      <c r="A439" s="6">
        <v>44546</v>
      </c>
      <c r="B439" t="s">
        <v>28</v>
      </c>
      <c r="C439" s="2">
        <v>968</v>
      </c>
    </row>
    <row r="440" spans="1:3" x14ac:dyDescent="0.25">
      <c r="A440" s="6">
        <v>44247</v>
      </c>
      <c r="B440" t="s">
        <v>27</v>
      </c>
      <c r="C440" s="2">
        <v>861</v>
      </c>
    </row>
    <row r="441" spans="1:3" x14ac:dyDescent="0.25">
      <c r="A441" s="6">
        <v>44215</v>
      </c>
      <c r="B441" t="s">
        <v>25</v>
      </c>
      <c r="C441" s="2">
        <v>933</v>
      </c>
    </row>
    <row r="442" spans="1:3" x14ac:dyDescent="0.25">
      <c r="A442" s="6">
        <v>44360</v>
      </c>
      <c r="B442" t="s">
        <v>25</v>
      </c>
      <c r="C442" s="2">
        <v>1194</v>
      </c>
    </row>
    <row r="443" spans="1:3" x14ac:dyDescent="0.25">
      <c r="A443" s="6">
        <v>44307</v>
      </c>
      <c r="B443" t="s">
        <v>25</v>
      </c>
      <c r="C443" s="2">
        <v>825</v>
      </c>
    </row>
    <row r="444" spans="1:3" x14ac:dyDescent="0.25">
      <c r="A444" s="6">
        <v>44481</v>
      </c>
      <c r="B444" t="s">
        <v>27</v>
      </c>
      <c r="C444" s="2">
        <v>1084</v>
      </c>
    </row>
    <row r="445" spans="1:3" x14ac:dyDescent="0.25">
      <c r="A445" s="6">
        <v>44454</v>
      </c>
      <c r="B445" t="s">
        <v>27</v>
      </c>
      <c r="C445" s="2">
        <v>1029</v>
      </c>
    </row>
    <row r="446" spans="1:3" x14ac:dyDescent="0.25">
      <c r="A446" s="6">
        <v>44346</v>
      </c>
      <c r="B446" t="s">
        <v>26</v>
      </c>
      <c r="C446" s="2">
        <v>1105</v>
      </c>
    </row>
    <row r="447" spans="1:3" x14ac:dyDescent="0.25">
      <c r="A447" s="6">
        <v>44234</v>
      </c>
      <c r="B447" t="s">
        <v>28</v>
      </c>
      <c r="C447" s="2">
        <v>1123</v>
      </c>
    </row>
    <row r="448" spans="1:3" x14ac:dyDescent="0.25">
      <c r="A448" s="6">
        <v>44199</v>
      </c>
      <c r="B448" t="s">
        <v>27</v>
      </c>
      <c r="C448" s="2">
        <v>927</v>
      </c>
    </row>
    <row r="449" spans="1:3" x14ac:dyDescent="0.25">
      <c r="A449" s="6">
        <v>44199</v>
      </c>
      <c r="B449" t="s">
        <v>25</v>
      </c>
      <c r="C449" s="2">
        <v>927</v>
      </c>
    </row>
    <row r="450" spans="1:3" x14ac:dyDescent="0.25">
      <c r="A450" s="6">
        <v>44525</v>
      </c>
      <c r="B450" t="s">
        <v>28</v>
      </c>
      <c r="C450" s="2">
        <v>1043</v>
      </c>
    </row>
    <row r="451" spans="1:3" x14ac:dyDescent="0.25">
      <c r="A451" s="6">
        <v>44236</v>
      </c>
      <c r="B451" t="s">
        <v>25</v>
      </c>
      <c r="C451" s="2">
        <v>866</v>
      </c>
    </row>
    <row r="452" spans="1:3" x14ac:dyDescent="0.25">
      <c r="A452" s="6">
        <v>44267</v>
      </c>
      <c r="B452" t="s">
        <v>26</v>
      </c>
      <c r="C452" s="2">
        <v>850</v>
      </c>
    </row>
    <row r="453" spans="1:3" x14ac:dyDescent="0.25">
      <c r="A453" s="6">
        <v>44294</v>
      </c>
      <c r="B453" t="s">
        <v>26</v>
      </c>
      <c r="C453" s="2">
        <v>849</v>
      </c>
    </row>
    <row r="454" spans="1:3" x14ac:dyDescent="0.25">
      <c r="A454" s="6">
        <v>44448</v>
      </c>
      <c r="B454" t="s">
        <v>28</v>
      </c>
      <c r="C454" s="2">
        <v>1033</v>
      </c>
    </row>
    <row r="455" spans="1:3" x14ac:dyDescent="0.25">
      <c r="A455" s="6">
        <v>44423</v>
      </c>
      <c r="B455" t="s">
        <v>25</v>
      </c>
      <c r="C455" s="2">
        <v>1105</v>
      </c>
    </row>
    <row r="456" spans="1:3" x14ac:dyDescent="0.25">
      <c r="A456" s="6">
        <v>44442</v>
      </c>
      <c r="B456" t="s">
        <v>25</v>
      </c>
      <c r="C456" s="2">
        <v>1074</v>
      </c>
    </row>
    <row r="457" spans="1:3" x14ac:dyDescent="0.25">
      <c r="A457" s="6">
        <v>44488</v>
      </c>
      <c r="B457" t="s">
        <v>28</v>
      </c>
      <c r="C457" s="2">
        <v>1125</v>
      </c>
    </row>
    <row r="458" spans="1:3" x14ac:dyDescent="0.25">
      <c r="A458" s="6">
        <v>44485</v>
      </c>
      <c r="B458" t="s">
        <v>26</v>
      </c>
      <c r="C458" s="2">
        <v>910</v>
      </c>
    </row>
    <row r="459" spans="1:3" x14ac:dyDescent="0.25">
      <c r="A459" s="6">
        <v>44371</v>
      </c>
      <c r="B459" t="s">
        <v>26</v>
      </c>
      <c r="C459" s="2">
        <v>868</v>
      </c>
    </row>
    <row r="460" spans="1:3" x14ac:dyDescent="0.25">
      <c r="A460" s="6">
        <v>44346</v>
      </c>
      <c r="B460" t="s">
        <v>28</v>
      </c>
      <c r="C460" s="2">
        <v>955</v>
      </c>
    </row>
    <row r="461" spans="1:3" x14ac:dyDescent="0.25">
      <c r="A461" s="6">
        <v>44510</v>
      </c>
      <c r="B461" t="s">
        <v>26</v>
      </c>
      <c r="C461" s="2">
        <v>813</v>
      </c>
    </row>
    <row r="462" spans="1:3" x14ac:dyDescent="0.25">
      <c r="A462" s="6">
        <v>44322</v>
      </c>
      <c r="B462" t="s">
        <v>27</v>
      </c>
      <c r="C462" s="2">
        <v>1070</v>
      </c>
    </row>
    <row r="463" spans="1:3" x14ac:dyDescent="0.25">
      <c r="A463" s="6">
        <v>44380</v>
      </c>
      <c r="B463" t="s">
        <v>25</v>
      </c>
      <c r="C463" s="2">
        <v>997</v>
      </c>
    </row>
    <row r="464" spans="1:3" x14ac:dyDescent="0.25">
      <c r="A464" s="6">
        <v>44333</v>
      </c>
      <c r="B464" t="s">
        <v>28</v>
      </c>
      <c r="C464" s="2">
        <v>1149</v>
      </c>
    </row>
    <row r="465" spans="1:3" x14ac:dyDescent="0.25">
      <c r="A465" s="6">
        <v>44465</v>
      </c>
      <c r="B465" t="s">
        <v>26</v>
      </c>
      <c r="C465" s="2">
        <v>990</v>
      </c>
    </row>
    <row r="466" spans="1:3" x14ac:dyDescent="0.25">
      <c r="A466" s="6">
        <v>44438</v>
      </c>
      <c r="B466" t="s">
        <v>26</v>
      </c>
      <c r="C466" s="2">
        <v>926</v>
      </c>
    </row>
    <row r="467" spans="1:3" x14ac:dyDescent="0.25">
      <c r="A467" s="6">
        <v>44242</v>
      </c>
      <c r="B467" t="s">
        <v>26</v>
      </c>
      <c r="C467" s="2">
        <v>837</v>
      </c>
    </row>
    <row r="468" spans="1:3" x14ac:dyDescent="0.25">
      <c r="A468" s="6">
        <v>44364</v>
      </c>
      <c r="B468" t="s">
        <v>28</v>
      </c>
      <c r="C468" s="2">
        <v>1198</v>
      </c>
    </row>
    <row r="469" spans="1:3" x14ac:dyDescent="0.25">
      <c r="A469" s="6">
        <v>44332</v>
      </c>
      <c r="B469" t="s">
        <v>26</v>
      </c>
      <c r="C469" s="2">
        <v>1187</v>
      </c>
    </row>
    <row r="470" spans="1:3" x14ac:dyDescent="0.25">
      <c r="A470" s="6">
        <v>44551</v>
      </c>
      <c r="B470" t="s">
        <v>28</v>
      </c>
      <c r="C470" s="2">
        <v>964</v>
      </c>
    </row>
    <row r="471" spans="1:3" x14ac:dyDescent="0.25">
      <c r="A471" s="6">
        <v>44271</v>
      </c>
      <c r="B471" t="s">
        <v>28</v>
      </c>
      <c r="C471" s="2">
        <v>1181</v>
      </c>
    </row>
    <row r="472" spans="1:3" x14ac:dyDescent="0.25">
      <c r="A472" s="6">
        <v>44407</v>
      </c>
      <c r="B472" t="s">
        <v>26</v>
      </c>
      <c r="C472" s="2">
        <v>1074</v>
      </c>
    </row>
    <row r="473" spans="1:3" x14ac:dyDescent="0.25">
      <c r="A473" s="6">
        <v>44370</v>
      </c>
      <c r="B473" t="s">
        <v>27</v>
      </c>
      <c r="C473" s="2">
        <v>1196</v>
      </c>
    </row>
    <row r="474" spans="1:3" x14ac:dyDescent="0.25">
      <c r="A474" s="6">
        <v>44319</v>
      </c>
      <c r="B474" t="s">
        <v>25</v>
      </c>
      <c r="C474" s="2">
        <v>804</v>
      </c>
    </row>
    <row r="475" spans="1:3" x14ac:dyDescent="0.25">
      <c r="A475" s="6">
        <v>44480</v>
      </c>
      <c r="B475" t="s">
        <v>27</v>
      </c>
      <c r="C475" s="2">
        <v>999</v>
      </c>
    </row>
    <row r="476" spans="1:3" x14ac:dyDescent="0.25">
      <c r="A476" s="6">
        <v>44530</v>
      </c>
      <c r="B476" t="s">
        <v>27</v>
      </c>
      <c r="C476" s="2">
        <v>940</v>
      </c>
    </row>
    <row r="477" spans="1:3" x14ac:dyDescent="0.25">
      <c r="A477" s="6">
        <v>44545</v>
      </c>
      <c r="B477" t="s">
        <v>25</v>
      </c>
      <c r="C477" s="2">
        <v>976</v>
      </c>
    </row>
    <row r="478" spans="1:3" x14ac:dyDescent="0.25">
      <c r="A478" s="6">
        <v>44399</v>
      </c>
      <c r="B478" t="s">
        <v>26</v>
      </c>
      <c r="C478" s="2">
        <v>995</v>
      </c>
    </row>
    <row r="479" spans="1:3" x14ac:dyDescent="0.25">
      <c r="A479" s="6">
        <v>44238</v>
      </c>
      <c r="B479" t="s">
        <v>28</v>
      </c>
      <c r="C479" s="2">
        <v>976</v>
      </c>
    </row>
    <row r="480" spans="1:3" x14ac:dyDescent="0.25">
      <c r="A480" s="6">
        <v>44561</v>
      </c>
      <c r="B480" t="s">
        <v>28</v>
      </c>
      <c r="C480" s="2">
        <v>1047</v>
      </c>
    </row>
    <row r="481" spans="1:3" x14ac:dyDescent="0.25">
      <c r="A481" s="6">
        <v>44444</v>
      </c>
      <c r="B481" t="s">
        <v>28</v>
      </c>
      <c r="C481" s="2">
        <v>976</v>
      </c>
    </row>
    <row r="482" spans="1:3" x14ac:dyDescent="0.25">
      <c r="A482" s="6">
        <v>44322</v>
      </c>
      <c r="B482" t="s">
        <v>28</v>
      </c>
      <c r="C482" s="2">
        <v>941</v>
      </c>
    </row>
    <row r="483" spans="1:3" x14ac:dyDescent="0.25">
      <c r="A483" s="6">
        <v>44396</v>
      </c>
      <c r="B483" t="s">
        <v>26</v>
      </c>
      <c r="C483" s="2">
        <v>1187</v>
      </c>
    </row>
    <row r="484" spans="1:3" x14ac:dyDescent="0.25">
      <c r="A484" s="6">
        <v>44457</v>
      </c>
      <c r="B484" t="s">
        <v>27</v>
      </c>
      <c r="C484" s="2">
        <v>1113</v>
      </c>
    </row>
    <row r="485" spans="1:3" x14ac:dyDescent="0.25">
      <c r="A485" s="6">
        <v>44404</v>
      </c>
      <c r="B485" t="s">
        <v>25</v>
      </c>
      <c r="C485" s="2">
        <v>1117</v>
      </c>
    </row>
    <row r="486" spans="1:3" x14ac:dyDescent="0.25">
      <c r="A486" s="6">
        <v>44333</v>
      </c>
      <c r="B486" t="s">
        <v>28</v>
      </c>
      <c r="C486" s="2">
        <v>966</v>
      </c>
    </row>
    <row r="487" spans="1:3" x14ac:dyDescent="0.25">
      <c r="A487" s="6">
        <v>44298</v>
      </c>
      <c r="B487" t="s">
        <v>26</v>
      </c>
      <c r="C487" s="2">
        <v>852</v>
      </c>
    </row>
    <row r="488" spans="1:3" x14ac:dyDescent="0.25">
      <c r="A488" s="6">
        <v>44229</v>
      </c>
      <c r="B488" t="s">
        <v>27</v>
      </c>
      <c r="C488" s="2">
        <v>861</v>
      </c>
    </row>
    <row r="489" spans="1:3" x14ac:dyDescent="0.25">
      <c r="A489" s="6">
        <v>44409</v>
      </c>
      <c r="B489" t="s">
        <v>25</v>
      </c>
      <c r="C489" s="2">
        <v>1189</v>
      </c>
    </row>
    <row r="490" spans="1:3" x14ac:dyDescent="0.25">
      <c r="A490" s="6">
        <v>44260</v>
      </c>
      <c r="B490" t="s">
        <v>28</v>
      </c>
      <c r="C490" s="2">
        <v>1004</v>
      </c>
    </row>
    <row r="491" spans="1:3" x14ac:dyDescent="0.25">
      <c r="A491" s="6">
        <v>44270</v>
      </c>
      <c r="B491" t="s">
        <v>25</v>
      </c>
      <c r="C491" s="2">
        <v>932</v>
      </c>
    </row>
    <row r="492" spans="1:3" x14ac:dyDescent="0.25">
      <c r="A492" s="6">
        <v>44343</v>
      </c>
      <c r="B492" t="s">
        <v>28</v>
      </c>
      <c r="C492" s="2">
        <v>963</v>
      </c>
    </row>
    <row r="493" spans="1:3" x14ac:dyDescent="0.25">
      <c r="A493" s="6">
        <v>44556</v>
      </c>
      <c r="B493" t="s">
        <v>27</v>
      </c>
      <c r="C493" s="2">
        <v>990</v>
      </c>
    </row>
    <row r="494" spans="1:3" x14ac:dyDescent="0.25">
      <c r="A494" s="6">
        <v>44351</v>
      </c>
      <c r="B494" t="s">
        <v>27</v>
      </c>
      <c r="C494" s="2">
        <v>850</v>
      </c>
    </row>
    <row r="495" spans="1:3" x14ac:dyDescent="0.25">
      <c r="A495" s="6">
        <v>44222</v>
      </c>
      <c r="B495" t="s">
        <v>27</v>
      </c>
      <c r="C495" s="2">
        <v>900</v>
      </c>
    </row>
    <row r="496" spans="1:3" x14ac:dyDescent="0.25">
      <c r="A496" s="6">
        <v>44526</v>
      </c>
      <c r="B496" t="s">
        <v>26</v>
      </c>
      <c r="C496" s="2">
        <v>1135</v>
      </c>
    </row>
    <row r="497" spans="1:3" x14ac:dyDescent="0.25">
      <c r="A497" s="6">
        <v>44242</v>
      </c>
      <c r="B497" t="s">
        <v>25</v>
      </c>
      <c r="C497" s="2">
        <v>971</v>
      </c>
    </row>
    <row r="498" spans="1:3" x14ac:dyDescent="0.25">
      <c r="A498" s="6">
        <v>44426</v>
      </c>
      <c r="B498" t="s">
        <v>25</v>
      </c>
      <c r="C498" s="2">
        <v>909</v>
      </c>
    </row>
    <row r="499" spans="1:3" x14ac:dyDescent="0.25">
      <c r="A499" s="6">
        <v>44487</v>
      </c>
      <c r="B499" t="s">
        <v>28</v>
      </c>
      <c r="C499" s="2">
        <v>976</v>
      </c>
    </row>
    <row r="500" spans="1:3" x14ac:dyDescent="0.25">
      <c r="A500" s="6">
        <v>44212</v>
      </c>
      <c r="B500" t="s">
        <v>25</v>
      </c>
      <c r="C500" s="2">
        <v>827</v>
      </c>
    </row>
    <row r="501" spans="1:3" x14ac:dyDescent="0.25">
      <c r="A501" s="6">
        <v>44500</v>
      </c>
      <c r="B501" t="s">
        <v>28</v>
      </c>
      <c r="C501" s="2">
        <v>846</v>
      </c>
    </row>
    <row r="502" spans="1:3" x14ac:dyDescent="0.25">
      <c r="A502" s="6">
        <v>44236</v>
      </c>
      <c r="B502" t="s">
        <v>25</v>
      </c>
      <c r="C502" s="2">
        <v>1063</v>
      </c>
    </row>
    <row r="503" spans="1:3" x14ac:dyDescent="0.25">
      <c r="A503" s="6">
        <v>44201</v>
      </c>
      <c r="B503" t="s">
        <v>27</v>
      </c>
      <c r="C503" s="2">
        <v>938</v>
      </c>
    </row>
    <row r="504" spans="1:3" x14ac:dyDescent="0.25">
      <c r="A504" s="6">
        <v>44561</v>
      </c>
      <c r="B504" t="s">
        <v>28</v>
      </c>
      <c r="C504" s="2">
        <v>1198</v>
      </c>
    </row>
    <row r="505" spans="1:3" x14ac:dyDescent="0.25">
      <c r="A505" s="6">
        <v>44408</v>
      </c>
      <c r="B505" t="s">
        <v>26</v>
      </c>
      <c r="C505" s="2">
        <v>1132</v>
      </c>
    </row>
    <row r="506" spans="1:3" x14ac:dyDescent="0.25">
      <c r="A506" s="6">
        <v>44430</v>
      </c>
      <c r="B506" t="s">
        <v>25</v>
      </c>
      <c r="C506" s="2">
        <v>1174</v>
      </c>
    </row>
    <row r="507" spans="1:3" x14ac:dyDescent="0.25">
      <c r="A507" s="6">
        <v>44345</v>
      </c>
      <c r="B507" t="s">
        <v>28</v>
      </c>
      <c r="C507" s="2">
        <v>1134</v>
      </c>
    </row>
    <row r="508" spans="1:3" x14ac:dyDescent="0.25">
      <c r="A508" s="6">
        <v>44422</v>
      </c>
      <c r="B508" t="s">
        <v>26</v>
      </c>
      <c r="C508" s="2">
        <v>994</v>
      </c>
    </row>
    <row r="509" spans="1:3" x14ac:dyDescent="0.25">
      <c r="A509" s="6">
        <v>44351</v>
      </c>
      <c r="B509" t="s">
        <v>28</v>
      </c>
      <c r="C509" s="2">
        <v>818</v>
      </c>
    </row>
    <row r="510" spans="1:3" x14ac:dyDescent="0.25">
      <c r="A510" s="6">
        <v>44233</v>
      </c>
      <c r="B510" t="s">
        <v>26</v>
      </c>
      <c r="C510" s="2">
        <v>1155</v>
      </c>
    </row>
    <row r="511" spans="1:3" x14ac:dyDescent="0.25">
      <c r="A511" s="6">
        <v>44237</v>
      </c>
      <c r="B511" t="s">
        <v>28</v>
      </c>
      <c r="C511" s="2">
        <v>1012</v>
      </c>
    </row>
    <row r="512" spans="1:3" x14ac:dyDescent="0.25">
      <c r="A512" s="6">
        <v>44288</v>
      </c>
      <c r="B512" t="s">
        <v>28</v>
      </c>
      <c r="C512" s="2">
        <v>808</v>
      </c>
    </row>
    <row r="513" spans="1:3" x14ac:dyDescent="0.25">
      <c r="A513" s="6">
        <v>44442</v>
      </c>
      <c r="B513" t="s">
        <v>27</v>
      </c>
      <c r="C513" s="2">
        <v>1140</v>
      </c>
    </row>
    <row r="514" spans="1:3" x14ac:dyDescent="0.25">
      <c r="A514" s="6">
        <v>44519</v>
      </c>
      <c r="B514" t="s">
        <v>28</v>
      </c>
      <c r="C514" s="2">
        <v>1106</v>
      </c>
    </row>
    <row r="515" spans="1:3" x14ac:dyDescent="0.25">
      <c r="A515" s="6">
        <v>44439</v>
      </c>
      <c r="B515" t="s">
        <v>25</v>
      </c>
      <c r="C515" s="2">
        <v>849</v>
      </c>
    </row>
    <row r="516" spans="1:3" x14ac:dyDescent="0.25">
      <c r="A516" s="6">
        <v>44398</v>
      </c>
      <c r="B516" t="s">
        <v>28</v>
      </c>
      <c r="C516" s="2">
        <v>1186</v>
      </c>
    </row>
    <row r="517" spans="1:3" x14ac:dyDescent="0.25">
      <c r="A517" s="6">
        <v>44467</v>
      </c>
      <c r="B517" t="s">
        <v>26</v>
      </c>
      <c r="C517" s="2">
        <v>940</v>
      </c>
    </row>
    <row r="518" spans="1:3" x14ac:dyDescent="0.25">
      <c r="A518" s="6">
        <v>44275</v>
      </c>
      <c r="B518" t="s">
        <v>27</v>
      </c>
      <c r="C518" s="2">
        <v>1012</v>
      </c>
    </row>
    <row r="519" spans="1:3" x14ac:dyDescent="0.25">
      <c r="A519" s="6">
        <v>44239</v>
      </c>
      <c r="B519" t="s">
        <v>28</v>
      </c>
      <c r="C519" s="2">
        <v>844</v>
      </c>
    </row>
    <row r="520" spans="1:3" x14ac:dyDescent="0.25">
      <c r="A520" s="6">
        <v>44202</v>
      </c>
      <c r="B520" t="s">
        <v>26</v>
      </c>
      <c r="C520" s="2">
        <v>1099</v>
      </c>
    </row>
    <row r="521" spans="1:3" x14ac:dyDescent="0.25">
      <c r="A521" s="6">
        <v>44243</v>
      </c>
      <c r="B521" t="s">
        <v>28</v>
      </c>
      <c r="C521" s="2">
        <v>1080</v>
      </c>
    </row>
    <row r="522" spans="1:3" x14ac:dyDescent="0.25">
      <c r="A522" s="6">
        <v>44310</v>
      </c>
      <c r="B522" t="s">
        <v>28</v>
      </c>
      <c r="C522" s="2">
        <v>885</v>
      </c>
    </row>
    <row r="523" spans="1:3" x14ac:dyDescent="0.25">
      <c r="A523" s="6">
        <v>44245</v>
      </c>
      <c r="B523" t="s">
        <v>25</v>
      </c>
      <c r="C523" s="2">
        <v>930</v>
      </c>
    </row>
    <row r="524" spans="1:3" x14ac:dyDescent="0.25">
      <c r="A524" s="6">
        <v>44223</v>
      </c>
      <c r="B524" t="s">
        <v>26</v>
      </c>
      <c r="C524" s="2">
        <v>1122</v>
      </c>
    </row>
    <row r="525" spans="1:3" x14ac:dyDescent="0.25">
      <c r="A525" s="6">
        <v>44246</v>
      </c>
      <c r="B525" t="s">
        <v>28</v>
      </c>
      <c r="C525" s="2">
        <v>1083</v>
      </c>
    </row>
    <row r="526" spans="1:3" x14ac:dyDescent="0.25">
      <c r="A526" s="6">
        <v>44298</v>
      </c>
      <c r="B526" t="s">
        <v>26</v>
      </c>
      <c r="C526" s="2">
        <v>1116</v>
      </c>
    </row>
    <row r="527" spans="1:3" x14ac:dyDescent="0.25">
      <c r="A527" s="6">
        <v>44215</v>
      </c>
      <c r="B527" t="s">
        <v>26</v>
      </c>
      <c r="C527" s="2">
        <v>882</v>
      </c>
    </row>
    <row r="528" spans="1:3" x14ac:dyDescent="0.25">
      <c r="A528" s="6">
        <v>44234</v>
      </c>
      <c r="B528" t="s">
        <v>27</v>
      </c>
      <c r="C528" s="2">
        <v>1153</v>
      </c>
    </row>
    <row r="529" spans="1:3" x14ac:dyDescent="0.25">
      <c r="A529" s="6">
        <v>44201</v>
      </c>
      <c r="B529" t="s">
        <v>28</v>
      </c>
      <c r="C529" s="2">
        <v>1110</v>
      </c>
    </row>
    <row r="530" spans="1:3" x14ac:dyDescent="0.25">
      <c r="A530" s="6">
        <v>44458</v>
      </c>
      <c r="B530" t="s">
        <v>25</v>
      </c>
      <c r="C530" s="2">
        <v>1070</v>
      </c>
    </row>
    <row r="531" spans="1:3" x14ac:dyDescent="0.25">
      <c r="A531" s="6">
        <v>44455</v>
      </c>
      <c r="B531" t="s">
        <v>27</v>
      </c>
      <c r="C531" s="2">
        <v>1062</v>
      </c>
    </row>
    <row r="532" spans="1:3" x14ac:dyDescent="0.25">
      <c r="A532" s="6">
        <v>44392</v>
      </c>
      <c r="B532" t="s">
        <v>28</v>
      </c>
      <c r="C532" s="2">
        <v>1036</v>
      </c>
    </row>
    <row r="533" spans="1:3" x14ac:dyDescent="0.25">
      <c r="A533" s="6">
        <v>44506</v>
      </c>
      <c r="B533" t="s">
        <v>28</v>
      </c>
      <c r="C533" s="2">
        <v>960</v>
      </c>
    </row>
    <row r="534" spans="1:3" x14ac:dyDescent="0.25">
      <c r="A534" s="6">
        <v>44386</v>
      </c>
      <c r="B534" t="s">
        <v>26</v>
      </c>
      <c r="C534" s="2">
        <v>1039</v>
      </c>
    </row>
    <row r="535" spans="1:3" x14ac:dyDescent="0.25">
      <c r="A535" s="6">
        <v>44284</v>
      </c>
      <c r="B535" t="s">
        <v>26</v>
      </c>
      <c r="C535" s="2">
        <v>1133</v>
      </c>
    </row>
    <row r="536" spans="1:3" x14ac:dyDescent="0.25">
      <c r="A536" s="6">
        <v>44504</v>
      </c>
      <c r="B536" t="s">
        <v>25</v>
      </c>
      <c r="C536" s="2">
        <v>985</v>
      </c>
    </row>
    <row r="537" spans="1:3" x14ac:dyDescent="0.25">
      <c r="A537" s="6">
        <v>44482</v>
      </c>
      <c r="B537" t="s">
        <v>27</v>
      </c>
      <c r="C537" s="2">
        <v>1092</v>
      </c>
    </row>
    <row r="538" spans="1:3" x14ac:dyDescent="0.25">
      <c r="A538" s="6">
        <v>44405</v>
      </c>
      <c r="B538" t="s">
        <v>25</v>
      </c>
      <c r="C538" s="2">
        <v>1163</v>
      </c>
    </row>
    <row r="539" spans="1:3" x14ac:dyDescent="0.25">
      <c r="A539" s="6">
        <v>44445</v>
      </c>
      <c r="B539" t="s">
        <v>25</v>
      </c>
      <c r="C539" s="2">
        <v>1068</v>
      </c>
    </row>
    <row r="540" spans="1:3" x14ac:dyDescent="0.25">
      <c r="A540" s="6">
        <v>44520</v>
      </c>
      <c r="B540" t="s">
        <v>27</v>
      </c>
      <c r="C540" s="2">
        <v>1091</v>
      </c>
    </row>
    <row r="541" spans="1:3" x14ac:dyDescent="0.25">
      <c r="A541" s="6">
        <v>44427</v>
      </c>
      <c r="B541" t="s">
        <v>26</v>
      </c>
      <c r="C541" s="2">
        <v>1056</v>
      </c>
    </row>
    <row r="542" spans="1:3" x14ac:dyDescent="0.25">
      <c r="A542" s="6">
        <v>44383</v>
      </c>
      <c r="B542" t="s">
        <v>25</v>
      </c>
      <c r="C542" s="2">
        <v>902</v>
      </c>
    </row>
    <row r="543" spans="1:3" x14ac:dyDescent="0.25">
      <c r="A543" s="6">
        <v>44459</v>
      </c>
      <c r="B543" t="s">
        <v>25</v>
      </c>
      <c r="C543" s="2">
        <v>1005</v>
      </c>
    </row>
    <row r="544" spans="1:3" x14ac:dyDescent="0.25">
      <c r="A544" s="6">
        <v>44318</v>
      </c>
      <c r="B544" t="s">
        <v>26</v>
      </c>
      <c r="C544" s="2">
        <v>948</v>
      </c>
    </row>
    <row r="545" spans="1:3" x14ac:dyDescent="0.25">
      <c r="A545" s="6">
        <v>44443</v>
      </c>
      <c r="B545" t="s">
        <v>25</v>
      </c>
      <c r="C545" s="2">
        <v>1154</v>
      </c>
    </row>
    <row r="546" spans="1:3" x14ac:dyDescent="0.25">
      <c r="A546" s="6">
        <v>44201</v>
      </c>
      <c r="B546" t="s">
        <v>28</v>
      </c>
      <c r="C546" s="2">
        <v>1145</v>
      </c>
    </row>
    <row r="547" spans="1:3" x14ac:dyDescent="0.25">
      <c r="A547" s="6">
        <v>44410</v>
      </c>
      <c r="B547" t="s">
        <v>26</v>
      </c>
      <c r="C547" s="2">
        <v>1171</v>
      </c>
    </row>
    <row r="548" spans="1:3" x14ac:dyDescent="0.25">
      <c r="A548" s="6">
        <v>44269</v>
      </c>
      <c r="B548" t="s">
        <v>26</v>
      </c>
      <c r="C548" s="2">
        <v>891</v>
      </c>
    </row>
    <row r="549" spans="1:3" x14ac:dyDescent="0.25">
      <c r="A549" s="6">
        <v>44469</v>
      </c>
      <c r="B549" t="s">
        <v>28</v>
      </c>
      <c r="C549" s="2">
        <v>1136</v>
      </c>
    </row>
    <row r="550" spans="1:3" x14ac:dyDescent="0.25">
      <c r="A550" s="6">
        <v>44267</v>
      </c>
      <c r="B550" t="s">
        <v>27</v>
      </c>
      <c r="C550" s="2">
        <v>890</v>
      </c>
    </row>
    <row r="551" spans="1:3" x14ac:dyDescent="0.25">
      <c r="A551" s="6">
        <v>44212</v>
      </c>
      <c r="B551" t="s">
        <v>26</v>
      </c>
      <c r="C551" s="2">
        <v>936</v>
      </c>
    </row>
    <row r="552" spans="1:3" x14ac:dyDescent="0.25">
      <c r="A552" s="6">
        <v>44446</v>
      </c>
      <c r="B552" t="s">
        <v>27</v>
      </c>
      <c r="C552" s="2">
        <v>1087</v>
      </c>
    </row>
    <row r="553" spans="1:3" x14ac:dyDescent="0.25">
      <c r="A553" s="6">
        <v>44534</v>
      </c>
      <c r="B553" t="s">
        <v>28</v>
      </c>
      <c r="C553" s="2">
        <v>1046</v>
      </c>
    </row>
    <row r="554" spans="1:3" x14ac:dyDescent="0.25">
      <c r="A554" s="6">
        <v>44373</v>
      </c>
      <c r="B554" t="s">
        <v>28</v>
      </c>
      <c r="C554" s="2">
        <v>823</v>
      </c>
    </row>
    <row r="555" spans="1:3" x14ac:dyDescent="0.25">
      <c r="A555" s="6">
        <v>44426</v>
      </c>
      <c r="B555" t="s">
        <v>26</v>
      </c>
      <c r="C555" s="2">
        <v>1142</v>
      </c>
    </row>
    <row r="556" spans="1:3" x14ac:dyDescent="0.25">
      <c r="A556" s="6">
        <v>44231</v>
      </c>
      <c r="B556" t="s">
        <v>27</v>
      </c>
      <c r="C556" s="2">
        <v>1160</v>
      </c>
    </row>
    <row r="557" spans="1:3" x14ac:dyDescent="0.25">
      <c r="A557" s="6">
        <v>44232</v>
      </c>
      <c r="B557" t="s">
        <v>27</v>
      </c>
      <c r="C557" s="2">
        <v>1066</v>
      </c>
    </row>
    <row r="558" spans="1:3" x14ac:dyDescent="0.25">
      <c r="A558" s="6">
        <v>44532</v>
      </c>
      <c r="B558" t="s">
        <v>26</v>
      </c>
      <c r="C558" s="2">
        <v>813</v>
      </c>
    </row>
    <row r="559" spans="1:3" x14ac:dyDescent="0.25">
      <c r="A559" s="6">
        <v>44335</v>
      </c>
      <c r="B559" t="s">
        <v>25</v>
      </c>
      <c r="C559" s="2">
        <v>1132</v>
      </c>
    </row>
    <row r="560" spans="1:3" x14ac:dyDescent="0.25">
      <c r="A560" s="6">
        <v>44199</v>
      </c>
      <c r="B560" t="s">
        <v>26</v>
      </c>
      <c r="C560" s="2">
        <v>1166</v>
      </c>
    </row>
    <row r="561" spans="1:3" x14ac:dyDescent="0.25">
      <c r="A561" s="6">
        <v>44533</v>
      </c>
      <c r="B561" t="s">
        <v>28</v>
      </c>
      <c r="C561" s="2">
        <v>1035</v>
      </c>
    </row>
    <row r="562" spans="1:3" x14ac:dyDescent="0.25">
      <c r="A562" s="6">
        <v>44475</v>
      </c>
      <c r="B562" t="s">
        <v>27</v>
      </c>
      <c r="C562" s="2">
        <v>1159</v>
      </c>
    </row>
    <row r="563" spans="1:3" x14ac:dyDescent="0.25">
      <c r="A563" s="6">
        <v>44482</v>
      </c>
      <c r="B563" t="s">
        <v>26</v>
      </c>
      <c r="C563" s="2">
        <v>821</v>
      </c>
    </row>
    <row r="564" spans="1:3" x14ac:dyDescent="0.25">
      <c r="A564" s="6">
        <v>44268</v>
      </c>
      <c r="B564" t="s">
        <v>25</v>
      </c>
      <c r="C564" s="2">
        <v>1125</v>
      </c>
    </row>
    <row r="565" spans="1:3" x14ac:dyDescent="0.25">
      <c r="A565" s="6">
        <v>44426</v>
      </c>
      <c r="B565" t="s">
        <v>26</v>
      </c>
      <c r="C565" s="2">
        <v>1007</v>
      </c>
    </row>
    <row r="566" spans="1:3" x14ac:dyDescent="0.25">
      <c r="A566" s="6">
        <v>44437</v>
      </c>
      <c r="B566" t="s">
        <v>27</v>
      </c>
      <c r="C566" s="2">
        <v>858</v>
      </c>
    </row>
    <row r="567" spans="1:3" x14ac:dyDescent="0.25">
      <c r="A567" s="6">
        <v>44236</v>
      </c>
      <c r="B567" t="s">
        <v>25</v>
      </c>
      <c r="C567" s="2">
        <v>1160</v>
      </c>
    </row>
    <row r="568" spans="1:3" x14ac:dyDescent="0.25">
      <c r="A568" s="6">
        <v>44555</v>
      </c>
      <c r="B568" t="s">
        <v>25</v>
      </c>
      <c r="C568" s="2">
        <v>948</v>
      </c>
    </row>
    <row r="569" spans="1:3" x14ac:dyDescent="0.25">
      <c r="A569" s="6">
        <v>44269</v>
      </c>
      <c r="B569" t="s">
        <v>25</v>
      </c>
      <c r="C569" s="2">
        <v>862</v>
      </c>
    </row>
    <row r="570" spans="1:3" x14ac:dyDescent="0.25">
      <c r="A570" s="6">
        <v>44238</v>
      </c>
      <c r="B570" t="s">
        <v>28</v>
      </c>
      <c r="C570" s="2">
        <v>1068</v>
      </c>
    </row>
    <row r="571" spans="1:3" x14ac:dyDescent="0.25">
      <c r="A571" s="6">
        <v>44421</v>
      </c>
      <c r="B571" t="s">
        <v>27</v>
      </c>
      <c r="C571" s="2">
        <v>837</v>
      </c>
    </row>
    <row r="572" spans="1:3" x14ac:dyDescent="0.25">
      <c r="A572" s="6">
        <v>44395</v>
      </c>
      <c r="B572" t="s">
        <v>25</v>
      </c>
      <c r="C572" s="2">
        <v>925</v>
      </c>
    </row>
    <row r="573" spans="1:3" x14ac:dyDescent="0.25">
      <c r="A573" s="6">
        <v>44491</v>
      </c>
      <c r="B573" t="s">
        <v>25</v>
      </c>
      <c r="C573" s="2">
        <v>1056</v>
      </c>
    </row>
    <row r="574" spans="1:3" x14ac:dyDescent="0.25">
      <c r="A574" s="6">
        <v>44405</v>
      </c>
      <c r="B574" t="s">
        <v>26</v>
      </c>
      <c r="C574" s="2">
        <v>1108</v>
      </c>
    </row>
    <row r="575" spans="1:3" x14ac:dyDescent="0.25">
      <c r="A575" s="6">
        <v>44216</v>
      </c>
      <c r="B575" t="s">
        <v>28</v>
      </c>
      <c r="C575" s="2">
        <v>1170</v>
      </c>
    </row>
    <row r="576" spans="1:3" x14ac:dyDescent="0.25">
      <c r="A576" s="6">
        <v>44397</v>
      </c>
      <c r="B576" t="s">
        <v>28</v>
      </c>
      <c r="C576" s="2">
        <v>884</v>
      </c>
    </row>
    <row r="577" spans="1:3" x14ac:dyDescent="0.25">
      <c r="A577" s="6">
        <v>44394</v>
      </c>
      <c r="B577" t="s">
        <v>25</v>
      </c>
      <c r="C577" s="2">
        <v>1169</v>
      </c>
    </row>
    <row r="578" spans="1:3" x14ac:dyDescent="0.25">
      <c r="A578" s="6">
        <v>44440</v>
      </c>
      <c r="B578" t="s">
        <v>27</v>
      </c>
      <c r="C578" s="2">
        <v>819</v>
      </c>
    </row>
    <row r="579" spans="1:3" x14ac:dyDescent="0.25">
      <c r="A579" s="6">
        <v>44408</v>
      </c>
      <c r="B579" t="s">
        <v>27</v>
      </c>
      <c r="C579" s="2">
        <v>1186</v>
      </c>
    </row>
    <row r="580" spans="1:3" x14ac:dyDescent="0.25">
      <c r="A580" s="6">
        <v>44486</v>
      </c>
      <c r="B580" t="s">
        <v>27</v>
      </c>
      <c r="C580" s="2">
        <v>908</v>
      </c>
    </row>
    <row r="581" spans="1:3" x14ac:dyDescent="0.25">
      <c r="A581" s="6">
        <v>44213</v>
      </c>
      <c r="B581" t="s">
        <v>28</v>
      </c>
      <c r="C581" s="2">
        <v>975</v>
      </c>
    </row>
    <row r="582" spans="1:3" x14ac:dyDescent="0.25">
      <c r="A582" s="6">
        <v>44207</v>
      </c>
      <c r="B582" t="s">
        <v>26</v>
      </c>
      <c r="C582" s="2">
        <v>1004</v>
      </c>
    </row>
    <row r="583" spans="1:3" x14ac:dyDescent="0.25">
      <c r="A583" s="6">
        <v>44381</v>
      </c>
      <c r="B583" t="s">
        <v>26</v>
      </c>
      <c r="C583" s="2">
        <v>962</v>
      </c>
    </row>
    <row r="584" spans="1:3" x14ac:dyDescent="0.25">
      <c r="A584" s="6">
        <v>44423</v>
      </c>
      <c r="B584" t="s">
        <v>27</v>
      </c>
      <c r="C584" s="2">
        <v>964</v>
      </c>
    </row>
    <row r="585" spans="1:3" x14ac:dyDescent="0.25">
      <c r="A585" s="6">
        <v>44467</v>
      </c>
      <c r="B585" t="s">
        <v>26</v>
      </c>
      <c r="C585" s="2">
        <v>823</v>
      </c>
    </row>
    <row r="586" spans="1:3" x14ac:dyDescent="0.25">
      <c r="A586" s="6">
        <v>44336</v>
      </c>
      <c r="B586" t="s">
        <v>27</v>
      </c>
      <c r="C586" s="2">
        <v>1148</v>
      </c>
    </row>
    <row r="587" spans="1:3" x14ac:dyDescent="0.25">
      <c r="A587" s="6">
        <v>44229</v>
      </c>
      <c r="B587" t="s">
        <v>27</v>
      </c>
      <c r="C587" s="2">
        <v>1020</v>
      </c>
    </row>
    <row r="588" spans="1:3" x14ac:dyDescent="0.25">
      <c r="A588" s="6">
        <v>44518</v>
      </c>
      <c r="B588" t="s">
        <v>25</v>
      </c>
      <c r="C588" s="2">
        <v>931</v>
      </c>
    </row>
    <row r="589" spans="1:3" x14ac:dyDescent="0.25">
      <c r="A589" s="6">
        <v>44450</v>
      </c>
      <c r="B589" t="s">
        <v>27</v>
      </c>
      <c r="C589" s="2">
        <v>1022</v>
      </c>
    </row>
    <row r="590" spans="1:3" x14ac:dyDescent="0.25">
      <c r="A590" s="6">
        <v>44308</v>
      </c>
      <c r="B590" t="s">
        <v>25</v>
      </c>
      <c r="C590" s="2">
        <v>1067</v>
      </c>
    </row>
    <row r="591" spans="1:3" x14ac:dyDescent="0.25">
      <c r="A591" s="6">
        <v>44254</v>
      </c>
      <c r="B591" t="s">
        <v>28</v>
      </c>
      <c r="C591" s="2">
        <v>1125</v>
      </c>
    </row>
    <row r="592" spans="1:3" x14ac:dyDescent="0.25">
      <c r="A592" s="6">
        <v>44237</v>
      </c>
      <c r="B592" t="s">
        <v>28</v>
      </c>
      <c r="C592" s="2">
        <v>942</v>
      </c>
    </row>
    <row r="593" spans="1:3" x14ac:dyDescent="0.25">
      <c r="A593" s="6">
        <v>44540</v>
      </c>
      <c r="B593" t="s">
        <v>27</v>
      </c>
      <c r="C593" s="2">
        <v>1158</v>
      </c>
    </row>
    <row r="594" spans="1:3" x14ac:dyDescent="0.25">
      <c r="A594" s="6">
        <v>44273</v>
      </c>
      <c r="B594" t="s">
        <v>26</v>
      </c>
      <c r="C594" s="2">
        <v>811</v>
      </c>
    </row>
    <row r="595" spans="1:3" x14ac:dyDescent="0.25">
      <c r="A595" s="6">
        <v>44411</v>
      </c>
      <c r="B595" t="s">
        <v>27</v>
      </c>
      <c r="C595" s="2">
        <v>1107</v>
      </c>
    </row>
    <row r="596" spans="1:3" x14ac:dyDescent="0.25">
      <c r="A596" s="6">
        <v>44257</v>
      </c>
      <c r="B596" t="s">
        <v>27</v>
      </c>
      <c r="C596" s="2">
        <v>1187</v>
      </c>
    </row>
    <row r="597" spans="1:3" x14ac:dyDescent="0.25">
      <c r="A597" s="6">
        <v>44288</v>
      </c>
      <c r="B597" t="s">
        <v>26</v>
      </c>
      <c r="C597" s="2">
        <v>806</v>
      </c>
    </row>
    <row r="598" spans="1:3" x14ac:dyDescent="0.25">
      <c r="A598" s="6">
        <v>44257</v>
      </c>
      <c r="B598" t="s">
        <v>25</v>
      </c>
      <c r="C598" s="2">
        <v>1151</v>
      </c>
    </row>
    <row r="599" spans="1:3" x14ac:dyDescent="0.25">
      <c r="A599" s="6">
        <v>44425</v>
      </c>
      <c r="B599" t="s">
        <v>25</v>
      </c>
      <c r="C599" s="2">
        <v>859</v>
      </c>
    </row>
    <row r="600" spans="1:3" x14ac:dyDescent="0.25">
      <c r="A600" s="6">
        <v>44494</v>
      </c>
      <c r="B600" t="s">
        <v>28</v>
      </c>
      <c r="C600" s="2">
        <v>1070</v>
      </c>
    </row>
    <row r="601" spans="1:3" x14ac:dyDescent="0.25">
      <c r="A601" s="6">
        <v>44201</v>
      </c>
      <c r="B601" t="s">
        <v>25</v>
      </c>
      <c r="C601" s="2">
        <v>811</v>
      </c>
    </row>
    <row r="602" spans="1:3" x14ac:dyDescent="0.25">
      <c r="A602" s="6">
        <v>44381</v>
      </c>
      <c r="B602" t="s">
        <v>28</v>
      </c>
      <c r="C602" s="2">
        <v>1024</v>
      </c>
    </row>
    <row r="603" spans="1:3" x14ac:dyDescent="0.25">
      <c r="A603" s="6">
        <v>44448</v>
      </c>
      <c r="B603" t="s">
        <v>25</v>
      </c>
      <c r="C603" s="2">
        <v>1173</v>
      </c>
    </row>
    <row r="604" spans="1:3" x14ac:dyDescent="0.25">
      <c r="A604" s="6">
        <v>44238</v>
      </c>
      <c r="B604" t="s">
        <v>27</v>
      </c>
      <c r="C604" s="2">
        <v>1173</v>
      </c>
    </row>
    <row r="605" spans="1:3" x14ac:dyDescent="0.25">
      <c r="A605" s="6">
        <v>44415</v>
      </c>
      <c r="B605" t="s">
        <v>27</v>
      </c>
      <c r="C605" s="2">
        <v>1009</v>
      </c>
    </row>
    <row r="606" spans="1:3" x14ac:dyDescent="0.25">
      <c r="A606" s="6">
        <v>44531</v>
      </c>
      <c r="B606" t="s">
        <v>28</v>
      </c>
      <c r="C606" s="2">
        <v>948</v>
      </c>
    </row>
    <row r="607" spans="1:3" x14ac:dyDescent="0.25">
      <c r="A607" s="6">
        <v>44495</v>
      </c>
      <c r="B607" t="s">
        <v>27</v>
      </c>
      <c r="C607" s="2">
        <v>925</v>
      </c>
    </row>
    <row r="608" spans="1:3" x14ac:dyDescent="0.25">
      <c r="A608" s="6">
        <v>44381</v>
      </c>
      <c r="B608" t="s">
        <v>28</v>
      </c>
      <c r="C608" s="2">
        <v>1002</v>
      </c>
    </row>
    <row r="609" spans="1:3" x14ac:dyDescent="0.25">
      <c r="A609" s="6">
        <v>44211</v>
      </c>
      <c r="B609" t="s">
        <v>25</v>
      </c>
      <c r="C609" s="2">
        <v>885</v>
      </c>
    </row>
    <row r="610" spans="1:3" x14ac:dyDescent="0.25">
      <c r="A610" s="6">
        <v>44535</v>
      </c>
      <c r="B610" t="s">
        <v>25</v>
      </c>
      <c r="C610" s="2">
        <v>1073</v>
      </c>
    </row>
    <row r="611" spans="1:3" x14ac:dyDescent="0.25">
      <c r="A611" s="6">
        <v>44498</v>
      </c>
      <c r="B611" t="s">
        <v>25</v>
      </c>
      <c r="C611" s="2">
        <v>950</v>
      </c>
    </row>
    <row r="612" spans="1:3" x14ac:dyDescent="0.25">
      <c r="A612" s="6">
        <v>44497</v>
      </c>
      <c r="B612" t="s">
        <v>28</v>
      </c>
      <c r="C612" s="2">
        <v>1050</v>
      </c>
    </row>
    <row r="613" spans="1:3" x14ac:dyDescent="0.25">
      <c r="A613" s="6">
        <v>44271</v>
      </c>
      <c r="B613" t="s">
        <v>27</v>
      </c>
      <c r="C613" s="2">
        <v>1163</v>
      </c>
    </row>
    <row r="614" spans="1:3" x14ac:dyDescent="0.25">
      <c r="A614" s="6">
        <v>44259</v>
      </c>
      <c r="B614" t="s">
        <v>25</v>
      </c>
      <c r="C614" s="2">
        <v>1070</v>
      </c>
    </row>
    <row r="615" spans="1:3" x14ac:dyDescent="0.25">
      <c r="A615" s="6">
        <v>44279</v>
      </c>
      <c r="B615" t="s">
        <v>25</v>
      </c>
      <c r="C615" s="2">
        <v>1061</v>
      </c>
    </row>
    <row r="616" spans="1:3" x14ac:dyDescent="0.25">
      <c r="A616" s="6">
        <v>44557</v>
      </c>
      <c r="B616" t="s">
        <v>28</v>
      </c>
      <c r="C616" s="2">
        <v>1044</v>
      </c>
    </row>
    <row r="617" spans="1:3" x14ac:dyDescent="0.25">
      <c r="A617" s="6">
        <v>44532</v>
      </c>
      <c r="B617" t="s">
        <v>27</v>
      </c>
      <c r="C617" s="2">
        <v>1108</v>
      </c>
    </row>
    <row r="618" spans="1:3" x14ac:dyDescent="0.25">
      <c r="A618" s="6">
        <v>44268</v>
      </c>
      <c r="B618" t="s">
        <v>26</v>
      </c>
      <c r="C618" s="2">
        <v>940</v>
      </c>
    </row>
    <row r="619" spans="1:3" x14ac:dyDescent="0.25">
      <c r="A619" s="6">
        <v>44210</v>
      </c>
      <c r="B619" t="s">
        <v>26</v>
      </c>
      <c r="C619" s="2">
        <v>1057</v>
      </c>
    </row>
    <row r="620" spans="1:3" x14ac:dyDescent="0.25">
      <c r="A620" s="6">
        <v>44430</v>
      </c>
      <c r="B620" t="s">
        <v>28</v>
      </c>
      <c r="C620" s="2">
        <v>1146</v>
      </c>
    </row>
    <row r="621" spans="1:3" x14ac:dyDescent="0.25">
      <c r="A621" s="6">
        <v>44218</v>
      </c>
      <c r="B621" t="s">
        <v>25</v>
      </c>
      <c r="C621" s="2">
        <v>966</v>
      </c>
    </row>
    <row r="622" spans="1:3" x14ac:dyDescent="0.25">
      <c r="A622" s="6">
        <v>44380</v>
      </c>
      <c r="B622" t="s">
        <v>27</v>
      </c>
      <c r="C622" s="2">
        <v>1036</v>
      </c>
    </row>
    <row r="623" spans="1:3" x14ac:dyDescent="0.25">
      <c r="A623" s="6">
        <v>44241</v>
      </c>
      <c r="B623" t="s">
        <v>26</v>
      </c>
      <c r="C623" s="2">
        <v>988</v>
      </c>
    </row>
    <row r="624" spans="1:3" x14ac:dyDescent="0.25">
      <c r="A624" s="6">
        <v>44201</v>
      </c>
      <c r="B624" t="s">
        <v>27</v>
      </c>
      <c r="C624" s="2">
        <v>810</v>
      </c>
    </row>
    <row r="625" spans="1:3" x14ac:dyDescent="0.25">
      <c r="A625" s="6">
        <v>44503</v>
      </c>
      <c r="B625" t="s">
        <v>27</v>
      </c>
      <c r="C625" s="2">
        <v>997</v>
      </c>
    </row>
    <row r="626" spans="1:3" x14ac:dyDescent="0.25">
      <c r="A626" s="6">
        <v>44345</v>
      </c>
      <c r="B626" t="s">
        <v>28</v>
      </c>
      <c r="C626" s="2">
        <v>1042</v>
      </c>
    </row>
    <row r="627" spans="1:3" x14ac:dyDescent="0.25">
      <c r="A627" s="6">
        <v>44384</v>
      </c>
      <c r="B627" t="s">
        <v>25</v>
      </c>
      <c r="C627" s="2">
        <v>1138</v>
      </c>
    </row>
    <row r="628" spans="1:3" x14ac:dyDescent="0.25">
      <c r="A628" s="6">
        <v>44229</v>
      </c>
      <c r="B628" t="s">
        <v>26</v>
      </c>
      <c r="C628" s="2">
        <v>1114</v>
      </c>
    </row>
    <row r="629" spans="1:3" x14ac:dyDescent="0.25">
      <c r="A629" s="6">
        <v>44540</v>
      </c>
      <c r="B629" t="s">
        <v>27</v>
      </c>
      <c r="C629" s="2">
        <v>1108</v>
      </c>
    </row>
    <row r="630" spans="1:3" x14ac:dyDescent="0.25">
      <c r="A630" s="6">
        <v>44299</v>
      </c>
      <c r="B630" t="s">
        <v>26</v>
      </c>
      <c r="C630" s="2">
        <v>857</v>
      </c>
    </row>
    <row r="631" spans="1:3" x14ac:dyDescent="0.25">
      <c r="A631" s="6">
        <v>44435</v>
      </c>
      <c r="B631" t="s">
        <v>27</v>
      </c>
      <c r="C631" s="2">
        <v>815</v>
      </c>
    </row>
    <row r="632" spans="1:3" x14ac:dyDescent="0.25">
      <c r="A632" s="6">
        <v>44445</v>
      </c>
      <c r="B632" t="s">
        <v>28</v>
      </c>
      <c r="C632" s="2">
        <v>1053</v>
      </c>
    </row>
    <row r="633" spans="1:3" x14ac:dyDescent="0.25">
      <c r="A633" s="6">
        <v>44241</v>
      </c>
      <c r="B633" t="s">
        <v>25</v>
      </c>
      <c r="C633" s="2">
        <v>903</v>
      </c>
    </row>
    <row r="634" spans="1:3" x14ac:dyDescent="0.25">
      <c r="A634" s="6">
        <v>44408</v>
      </c>
      <c r="B634" t="s">
        <v>25</v>
      </c>
      <c r="C634" s="2">
        <v>830</v>
      </c>
    </row>
    <row r="635" spans="1:3" x14ac:dyDescent="0.25">
      <c r="A635" s="6">
        <v>44488</v>
      </c>
      <c r="B635" t="s">
        <v>26</v>
      </c>
      <c r="C635" s="2">
        <v>817</v>
      </c>
    </row>
    <row r="636" spans="1:3" x14ac:dyDescent="0.25">
      <c r="A636" s="6">
        <v>44304</v>
      </c>
      <c r="B636" t="s">
        <v>28</v>
      </c>
      <c r="C636" s="2">
        <v>802</v>
      </c>
    </row>
    <row r="637" spans="1:3" x14ac:dyDescent="0.25">
      <c r="A637" s="6">
        <v>44551</v>
      </c>
      <c r="B637" t="s">
        <v>28</v>
      </c>
      <c r="C637" s="2">
        <v>1086</v>
      </c>
    </row>
    <row r="638" spans="1:3" x14ac:dyDescent="0.25">
      <c r="A638" s="6">
        <v>44415</v>
      </c>
      <c r="B638" t="s">
        <v>27</v>
      </c>
      <c r="C638" s="2">
        <v>899</v>
      </c>
    </row>
    <row r="639" spans="1:3" x14ac:dyDescent="0.25">
      <c r="A639" s="6">
        <v>44479</v>
      </c>
      <c r="B639" t="s">
        <v>27</v>
      </c>
      <c r="C639" s="2">
        <v>855</v>
      </c>
    </row>
    <row r="640" spans="1:3" x14ac:dyDescent="0.25">
      <c r="A640" s="6">
        <v>44503</v>
      </c>
      <c r="B640" t="s">
        <v>27</v>
      </c>
      <c r="C640" s="2">
        <v>885</v>
      </c>
    </row>
    <row r="641" spans="1:3" x14ac:dyDescent="0.25">
      <c r="A641" s="6">
        <v>44337</v>
      </c>
      <c r="B641" t="s">
        <v>28</v>
      </c>
      <c r="C641" s="2">
        <v>911</v>
      </c>
    </row>
    <row r="642" spans="1:3" x14ac:dyDescent="0.25">
      <c r="A642" s="6">
        <v>44504</v>
      </c>
      <c r="B642" t="s">
        <v>25</v>
      </c>
      <c r="C642" s="2">
        <v>1104</v>
      </c>
    </row>
    <row r="643" spans="1:3" x14ac:dyDescent="0.25">
      <c r="A643" s="6">
        <v>44273</v>
      </c>
      <c r="B643" t="s">
        <v>28</v>
      </c>
      <c r="C643" s="2">
        <v>1117</v>
      </c>
    </row>
    <row r="644" spans="1:3" x14ac:dyDescent="0.25">
      <c r="A644" s="6">
        <v>44345</v>
      </c>
      <c r="B644" t="s">
        <v>26</v>
      </c>
      <c r="C644" s="2">
        <v>997</v>
      </c>
    </row>
    <row r="645" spans="1:3" x14ac:dyDescent="0.25">
      <c r="A645" s="6">
        <v>44356</v>
      </c>
      <c r="B645" t="s">
        <v>26</v>
      </c>
      <c r="C645" s="2">
        <v>950</v>
      </c>
    </row>
    <row r="646" spans="1:3" x14ac:dyDescent="0.25">
      <c r="A646" s="6">
        <v>44437</v>
      </c>
      <c r="B646" t="s">
        <v>28</v>
      </c>
      <c r="C646" s="2">
        <v>970</v>
      </c>
    </row>
    <row r="647" spans="1:3" x14ac:dyDescent="0.25">
      <c r="A647" s="6">
        <v>44498</v>
      </c>
      <c r="B647" t="s">
        <v>28</v>
      </c>
      <c r="C647" s="2">
        <v>1018</v>
      </c>
    </row>
    <row r="648" spans="1:3" x14ac:dyDescent="0.25">
      <c r="A648" s="6">
        <v>44536</v>
      </c>
      <c r="B648" t="s">
        <v>25</v>
      </c>
      <c r="C648" s="2">
        <v>933</v>
      </c>
    </row>
    <row r="649" spans="1:3" x14ac:dyDescent="0.25">
      <c r="A649" s="6">
        <v>44463</v>
      </c>
      <c r="B649" t="s">
        <v>28</v>
      </c>
      <c r="C649" s="2">
        <v>1116</v>
      </c>
    </row>
    <row r="650" spans="1:3" x14ac:dyDescent="0.25">
      <c r="A650" s="6">
        <v>44424</v>
      </c>
      <c r="B650" t="s">
        <v>25</v>
      </c>
      <c r="C650" s="2">
        <v>945</v>
      </c>
    </row>
    <row r="651" spans="1:3" x14ac:dyDescent="0.25">
      <c r="A651" s="6">
        <v>44242</v>
      </c>
      <c r="B651" t="s">
        <v>25</v>
      </c>
      <c r="C651" s="2">
        <v>1130</v>
      </c>
    </row>
    <row r="652" spans="1:3" x14ac:dyDescent="0.25">
      <c r="A652" s="6">
        <v>44526</v>
      </c>
      <c r="B652" t="s">
        <v>28</v>
      </c>
      <c r="C652" s="2">
        <v>802</v>
      </c>
    </row>
    <row r="653" spans="1:3" x14ac:dyDescent="0.25">
      <c r="A653" s="6">
        <v>44332</v>
      </c>
      <c r="B653" t="s">
        <v>25</v>
      </c>
      <c r="C653" s="2">
        <v>1038</v>
      </c>
    </row>
    <row r="654" spans="1:3" x14ac:dyDescent="0.25">
      <c r="A654" s="6">
        <v>44206</v>
      </c>
      <c r="B654" t="s">
        <v>25</v>
      </c>
      <c r="C654" s="2">
        <v>1094</v>
      </c>
    </row>
    <row r="655" spans="1:3" x14ac:dyDescent="0.25">
      <c r="A655" s="6">
        <v>44344</v>
      </c>
      <c r="B655" t="s">
        <v>28</v>
      </c>
      <c r="C655" s="2">
        <v>1156</v>
      </c>
    </row>
    <row r="656" spans="1:3" x14ac:dyDescent="0.25">
      <c r="A656" s="6">
        <v>44253</v>
      </c>
      <c r="B656" t="s">
        <v>27</v>
      </c>
      <c r="C656" s="2">
        <v>1155</v>
      </c>
    </row>
    <row r="657" spans="1:3" x14ac:dyDescent="0.25">
      <c r="A657" s="6">
        <v>44381</v>
      </c>
      <c r="B657" t="s">
        <v>25</v>
      </c>
      <c r="C657" s="2">
        <v>905</v>
      </c>
    </row>
    <row r="658" spans="1:3" x14ac:dyDescent="0.25">
      <c r="A658" s="6">
        <v>44529</v>
      </c>
      <c r="B658" t="s">
        <v>28</v>
      </c>
      <c r="C658" s="2">
        <v>1091</v>
      </c>
    </row>
    <row r="659" spans="1:3" x14ac:dyDescent="0.25">
      <c r="A659" s="6">
        <v>44333</v>
      </c>
      <c r="B659" t="s">
        <v>25</v>
      </c>
      <c r="C659" s="2">
        <v>959</v>
      </c>
    </row>
    <row r="660" spans="1:3" x14ac:dyDescent="0.25">
      <c r="A660" s="6">
        <v>44417</v>
      </c>
      <c r="B660" t="s">
        <v>28</v>
      </c>
      <c r="C660" s="2">
        <v>806</v>
      </c>
    </row>
    <row r="661" spans="1:3" x14ac:dyDescent="0.25">
      <c r="A661" s="6">
        <v>44516</v>
      </c>
      <c r="B661" t="s">
        <v>28</v>
      </c>
      <c r="C661" s="2">
        <v>945</v>
      </c>
    </row>
    <row r="662" spans="1:3" x14ac:dyDescent="0.25">
      <c r="A662" s="6">
        <v>44548</v>
      </c>
      <c r="B662" t="s">
        <v>25</v>
      </c>
      <c r="C662" s="2">
        <v>865</v>
      </c>
    </row>
    <row r="663" spans="1:3" x14ac:dyDescent="0.25">
      <c r="A663" s="6">
        <v>44486</v>
      </c>
      <c r="B663" t="s">
        <v>27</v>
      </c>
      <c r="C663" s="2">
        <v>904</v>
      </c>
    </row>
    <row r="664" spans="1:3" x14ac:dyDescent="0.25">
      <c r="A664" s="6">
        <v>44474</v>
      </c>
      <c r="B664" t="s">
        <v>26</v>
      </c>
      <c r="C664" s="2">
        <v>906</v>
      </c>
    </row>
    <row r="665" spans="1:3" x14ac:dyDescent="0.25">
      <c r="A665" s="6">
        <v>44461</v>
      </c>
      <c r="B665" t="s">
        <v>25</v>
      </c>
      <c r="C665" s="2">
        <v>1200</v>
      </c>
    </row>
    <row r="666" spans="1:3" x14ac:dyDescent="0.25">
      <c r="A666" s="6">
        <v>44550</v>
      </c>
      <c r="B666" t="s">
        <v>28</v>
      </c>
      <c r="C666" s="2">
        <v>1098</v>
      </c>
    </row>
    <row r="667" spans="1:3" x14ac:dyDescent="0.25">
      <c r="A667" s="6">
        <v>44397</v>
      </c>
      <c r="B667" t="s">
        <v>28</v>
      </c>
      <c r="C667" s="2">
        <v>1044</v>
      </c>
    </row>
    <row r="668" spans="1:3" x14ac:dyDescent="0.25">
      <c r="A668" s="6">
        <v>44215</v>
      </c>
      <c r="B668" t="s">
        <v>28</v>
      </c>
      <c r="C668" s="2">
        <v>983</v>
      </c>
    </row>
    <row r="669" spans="1:3" x14ac:dyDescent="0.25">
      <c r="A669" s="6">
        <v>44339</v>
      </c>
      <c r="B669" t="s">
        <v>26</v>
      </c>
      <c r="C669" s="2">
        <v>879</v>
      </c>
    </row>
    <row r="670" spans="1:3" x14ac:dyDescent="0.25">
      <c r="A670" s="6">
        <v>44299</v>
      </c>
      <c r="B670" t="s">
        <v>27</v>
      </c>
      <c r="C670" s="2">
        <v>810</v>
      </c>
    </row>
    <row r="671" spans="1:3" x14ac:dyDescent="0.25">
      <c r="A671" s="6">
        <v>44252</v>
      </c>
      <c r="B671" t="s">
        <v>27</v>
      </c>
      <c r="C671" s="2">
        <v>863</v>
      </c>
    </row>
    <row r="672" spans="1:3" x14ac:dyDescent="0.25">
      <c r="A672" s="6">
        <v>44421</v>
      </c>
      <c r="B672" t="s">
        <v>27</v>
      </c>
      <c r="C672" s="2">
        <v>1180</v>
      </c>
    </row>
    <row r="673" spans="1:3" x14ac:dyDescent="0.25">
      <c r="A673" s="6">
        <v>44488</v>
      </c>
      <c r="B673" t="s">
        <v>26</v>
      </c>
      <c r="C673" s="2">
        <v>1185</v>
      </c>
    </row>
    <row r="674" spans="1:3" x14ac:dyDescent="0.25">
      <c r="A674" s="6">
        <v>44498</v>
      </c>
      <c r="B674" t="s">
        <v>28</v>
      </c>
      <c r="C674" s="2">
        <v>860</v>
      </c>
    </row>
    <row r="675" spans="1:3" x14ac:dyDescent="0.25">
      <c r="A675" s="6">
        <v>44334</v>
      </c>
      <c r="B675" t="s">
        <v>28</v>
      </c>
      <c r="C675" s="2">
        <v>911</v>
      </c>
    </row>
    <row r="676" spans="1:3" x14ac:dyDescent="0.25">
      <c r="A676" s="6">
        <v>44531</v>
      </c>
      <c r="B676" t="s">
        <v>25</v>
      </c>
      <c r="C676" s="2">
        <v>815</v>
      </c>
    </row>
    <row r="677" spans="1:3" x14ac:dyDescent="0.25">
      <c r="A677" s="6">
        <v>44400</v>
      </c>
      <c r="B677" t="s">
        <v>25</v>
      </c>
      <c r="C677" s="2">
        <v>1118</v>
      </c>
    </row>
    <row r="678" spans="1:3" x14ac:dyDescent="0.25">
      <c r="A678" s="6">
        <v>44398</v>
      </c>
      <c r="B678" t="s">
        <v>25</v>
      </c>
      <c r="C678" s="2">
        <v>939</v>
      </c>
    </row>
    <row r="679" spans="1:3" x14ac:dyDescent="0.25">
      <c r="A679" s="6">
        <v>44558</v>
      </c>
      <c r="B679" t="s">
        <v>28</v>
      </c>
      <c r="C679" s="2">
        <v>1172</v>
      </c>
    </row>
    <row r="680" spans="1:3" x14ac:dyDescent="0.25">
      <c r="A680" s="6">
        <v>44524</v>
      </c>
      <c r="B680" t="s">
        <v>26</v>
      </c>
      <c r="C680" s="2">
        <v>823</v>
      </c>
    </row>
    <row r="681" spans="1:3" x14ac:dyDescent="0.25">
      <c r="A681" s="6">
        <v>44481</v>
      </c>
      <c r="B681" t="s">
        <v>27</v>
      </c>
      <c r="C681" s="2">
        <v>827</v>
      </c>
    </row>
    <row r="682" spans="1:3" x14ac:dyDescent="0.25">
      <c r="A682" s="6">
        <v>44505</v>
      </c>
      <c r="B682" t="s">
        <v>26</v>
      </c>
      <c r="C682" s="2">
        <v>914</v>
      </c>
    </row>
    <row r="683" spans="1:3" x14ac:dyDescent="0.25">
      <c r="A683" s="6">
        <v>44498</v>
      </c>
      <c r="B683" t="s">
        <v>28</v>
      </c>
      <c r="C683" s="2">
        <v>884</v>
      </c>
    </row>
    <row r="684" spans="1:3" x14ac:dyDescent="0.25">
      <c r="A684" s="6">
        <v>44283</v>
      </c>
      <c r="B684" t="s">
        <v>27</v>
      </c>
      <c r="C684" s="2">
        <v>1013</v>
      </c>
    </row>
    <row r="685" spans="1:3" x14ac:dyDescent="0.25">
      <c r="A685" s="6">
        <v>44441</v>
      </c>
      <c r="B685" t="s">
        <v>28</v>
      </c>
      <c r="C685" s="2">
        <v>1040</v>
      </c>
    </row>
    <row r="686" spans="1:3" x14ac:dyDescent="0.25">
      <c r="A686" s="6">
        <v>44560</v>
      </c>
      <c r="B686" t="s">
        <v>26</v>
      </c>
      <c r="C686" s="2">
        <v>1053</v>
      </c>
    </row>
    <row r="687" spans="1:3" x14ac:dyDescent="0.25">
      <c r="A687" s="6">
        <v>44557</v>
      </c>
      <c r="B687" t="s">
        <v>27</v>
      </c>
      <c r="C687" s="2">
        <v>942</v>
      </c>
    </row>
    <row r="688" spans="1:3" x14ac:dyDescent="0.25">
      <c r="A688" s="6">
        <v>44338</v>
      </c>
      <c r="B688" t="s">
        <v>25</v>
      </c>
      <c r="C688" s="2">
        <v>823</v>
      </c>
    </row>
    <row r="689" spans="1:3" x14ac:dyDescent="0.25">
      <c r="A689" s="6">
        <v>44520</v>
      </c>
      <c r="B689" t="s">
        <v>28</v>
      </c>
      <c r="C689" s="2">
        <v>1075</v>
      </c>
    </row>
    <row r="690" spans="1:3" x14ac:dyDescent="0.25">
      <c r="A690" s="6">
        <v>44281</v>
      </c>
      <c r="B690" t="s">
        <v>28</v>
      </c>
      <c r="C690" s="2">
        <v>848</v>
      </c>
    </row>
    <row r="691" spans="1:3" x14ac:dyDescent="0.25">
      <c r="A691" s="6">
        <v>44382</v>
      </c>
      <c r="B691" t="s">
        <v>28</v>
      </c>
      <c r="C691" s="2">
        <v>1081</v>
      </c>
    </row>
    <row r="692" spans="1:3" x14ac:dyDescent="0.25">
      <c r="A692" s="6">
        <v>44424</v>
      </c>
      <c r="B692" t="s">
        <v>28</v>
      </c>
      <c r="C692" s="2">
        <v>1016</v>
      </c>
    </row>
    <row r="693" spans="1:3" x14ac:dyDescent="0.25">
      <c r="A693" s="6">
        <v>44205</v>
      </c>
      <c r="B693" t="s">
        <v>28</v>
      </c>
      <c r="C693" s="2">
        <v>1176</v>
      </c>
    </row>
    <row r="694" spans="1:3" x14ac:dyDescent="0.25">
      <c r="A694" s="6">
        <v>44249</v>
      </c>
      <c r="B694" t="s">
        <v>27</v>
      </c>
      <c r="C694" s="2">
        <v>1024</v>
      </c>
    </row>
    <row r="695" spans="1:3" x14ac:dyDescent="0.25">
      <c r="A695" s="6">
        <v>44357</v>
      </c>
      <c r="B695" t="s">
        <v>25</v>
      </c>
      <c r="C695" s="2">
        <v>1063</v>
      </c>
    </row>
    <row r="696" spans="1:3" x14ac:dyDescent="0.25">
      <c r="A696" s="6">
        <v>44315</v>
      </c>
      <c r="B696" t="s">
        <v>28</v>
      </c>
      <c r="C696" s="2">
        <v>1095</v>
      </c>
    </row>
    <row r="697" spans="1:3" x14ac:dyDescent="0.25">
      <c r="A697" s="6">
        <v>44427</v>
      </c>
      <c r="B697" t="s">
        <v>27</v>
      </c>
      <c r="C697" s="2">
        <v>1114</v>
      </c>
    </row>
    <row r="698" spans="1:3" x14ac:dyDescent="0.25">
      <c r="A698" s="6">
        <v>44541</v>
      </c>
      <c r="B698" t="s">
        <v>27</v>
      </c>
      <c r="C698" s="2">
        <v>1092</v>
      </c>
    </row>
    <row r="699" spans="1:3" x14ac:dyDescent="0.25">
      <c r="A699" s="6">
        <v>44525</v>
      </c>
      <c r="B699" t="s">
        <v>26</v>
      </c>
      <c r="C699" s="2">
        <v>991</v>
      </c>
    </row>
    <row r="700" spans="1:3" x14ac:dyDescent="0.25">
      <c r="A700" s="6">
        <v>44444</v>
      </c>
      <c r="B700" t="s">
        <v>27</v>
      </c>
      <c r="C700" s="2">
        <v>827</v>
      </c>
    </row>
    <row r="701" spans="1:3" x14ac:dyDescent="0.25">
      <c r="A701" s="6">
        <v>44473</v>
      </c>
      <c r="B701" t="s">
        <v>27</v>
      </c>
      <c r="C701" s="2">
        <v>962</v>
      </c>
    </row>
    <row r="702" spans="1:3" x14ac:dyDescent="0.25">
      <c r="A702" s="6">
        <v>44208</v>
      </c>
      <c r="B702" t="s">
        <v>27</v>
      </c>
      <c r="C702" s="2">
        <v>991</v>
      </c>
    </row>
    <row r="703" spans="1:3" x14ac:dyDescent="0.25">
      <c r="A703" s="6">
        <v>44354</v>
      </c>
      <c r="B703" t="s">
        <v>25</v>
      </c>
      <c r="C703" s="2">
        <v>967</v>
      </c>
    </row>
    <row r="704" spans="1:3" x14ac:dyDescent="0.25">
      <c r="A704" s="6">
        <v>44432</v>
      </c>
      <c r="B704" t="s">
        <v>27</v>
      </c>
      <c r="C704" s="2">
        <v>803</v>
      </c>
    </row>
    <row r="705" spans="1:3" x14ac:dyDescent="0.25">
      <c r="A705" s="6">
        <v>44329</v>
      </c>
      <c r="B705" t="s">
        <v>26</v>
      </c>
      <c r="C705" s="2">
        <v>1070</v>
      </c>
    </row>
    <row r="706" spans="1:3" x14ac:dyDescent="0.25">
      <c r="A706" s="6">
        <v>44240</v>
      </c>
      <c r="B706" t="s">
        <v>26</v>
      </c>
      <c r="C706" s="2">
        <v>941</v>
      </c>
    </row>
    <row r="707" spans="1:3" x14ac:dyDescent="0.25">
      <c r="A707" s="6">
        <v>44243</v>
      </c>
      <c r="B707" t="s">
        <v>28</v>
      </c>
      <c r="C707" s="2">
        <v>1053</v>
      </c>
    </row>
    <row r="708" spans="1:3" x14ac:dyDescent="0.25">
      <c r="A708" s="6">
        <v>44225</v>
      </c>
      <c r="B708" t="s">
        <v>26</v>
      </c>
      <c r="C708" s="2">
        <v>1015</v>
      </c>
    </row>
    <row r="709" spans="1:3" x14ac:dyDescent="0.25">
      <c r="A709" s="6">
        <v>44487</v>
      </c>
      <c r="B709" t="s">
        <v>26</v>
      </c>
      <c r="C709" s="2">
        <v>1044</v>
      </c>
    </row>
    <row r="710" spans="1:3" x14ac:dyDescent="0.25">
      <c r="A710" s="6">
        <v>44224</v>
      </c>
      <c r="B710" t="s">
        <v>28</v>
      </c>
      <c r="C710" s="2">
        <v>1076</v>
      </c>
    </row>
    <row r="711" spans="1:3" x14ac:dyDescent="0.25">
      <c r="A711" s="6">
        <v>44412</v>
      </c>
      <c r="B711" t="s">
        <v>28</v>
      </c>
      <c r="C711" s="2">
        <v>1034</v>
      </c>
    </row>
    <row r="712" spans="1:3" x14ac:dyDescent="0.25">
      <c r="A712" s="6">
        <v>44510</v>
      </c>
      <c r="B712" t="s">
        <v>26</v>
      </c>
      <c r="C712" s="2">
        <v>990</v>
      </c>
    </row>
    <row r="713" spans="1:3" x14ac:dyDescent="0.25">
      <c r="A713" s="6">
        <v>44231</v>
      </c>
      <c r="B713" t="s">
        <v>26</v>
      </c>
      <c r="C713" s="2">
        <v>803</v>
      </c>
    </row>
    <row r="714" spans="1:3" x14ac:dyDescent="0.25">
      <c r="A714" s="6">
        <v>44554</v>
      </c>
      <c r="B714" t="s">
        <v>27</v>
      </c>
      <c r="C714" s="2">
        <v>965</v>
      </c>
    </row>
    <row r="715" spans="1:3" x14ac:dyDescent="0.25">
      <c r="A715" s="6">
        <v>44530</v>
      </c>
      <c r="B715" t="s">
        <v>26</v>
      </c>
      <c r="C715" s="2">
        <v>891</v>
      </c>
    </row>
    <row r="716" spans="1:3" x14ac:dyDescent="0.25">
      <c r="A716" s="6">
        <v>44394</v>
      </c>
      <c r="B716" t="s">
        <v>25</v>
      </c>
      <c r="C716" s="2">
        <v>874</v>
      </c>
    </row>
    <row r="717" spans="1:3" x14ac:dyDescent="0.25">
      <c r="A717" s="6">
        <v>44230</v>
      </c>
      <c r="B717" t="s">
        <v>26</v>
      </c>
      <c r="C717" s="2">
        <v>1191</v>
      </c>
    </row>
    <row r="718" spans="1:3" x14ac:dyDescent="0.25">
      <c r="A718" s="6">
        <v>44231</v>
      </c>
      <c r="B718" t="s">
        <v>28</v>
      </c>
      <c r="C718" s="2">
        <v>1123</v>
      </c>
    </row>
    <row r="719" spans="1:3" x14ac:dyDescent="0.25">
      <c r="A719" s="6">
        <v>44234</v>
      </c>
      <c r="B719" t="s">
        <v>27</v>
      </c>
      <c r="C719" s="2">
        <v>822</v>
      </c>
    </row>
    <row r="720" spans="1:3" x14ac:dyDescent="0.25">
      <c r="A720" s="6">
        <v>44312</v>
      </c>
      <c r="B720" t="s">
        <v>25</v>
      </c>
      <c r="C720" s="2">
        <v>1046</v>
      </c>
    </row>
    <row r="721" spans="1:3" x14ac:dyDescent="0.25">
      <c r="A721" s="6">
        <v>44561</v>
      </c>
      <c r="B721" t="s">
        <v>27</v>
      </c>
      <c r="C721" s="2">
        <v>917</v>
      </c>
    </row>
    <row r="722" spans="1:3" x14ac:dyDescent="0.25">
      <c r="A722" s="6">
        <v>44503</v>
      </c>
      <c r="B722" t="s">
        <v>27</v>
      </c>
      <c r="C722" s="2">
        <v>962</v>
      </c>
    </row>
    <row r="723" spans="1:3" x14ac:dyDescent="0.25">
      <c r="A723" s="6">
        <v>44233</v>
      </c>
      <c r="B723" t="s">
        <v>28</v>
      </c>
      <c r="C723" s="2">
        <v>1158</v>
      </c>
    </row>
    <row r="724" spans="1:3" x14ac:dyDescent="0.25">
      <c r="A724" s="6">
        <v>44552</v>
      </c>
      <c r="B724" t="s">
        <v>25</v>
      </c>
      <c r="C724" s="2">
        <v>986</v>
      </c>
    </row>
    <row r="725" spans="1:3" x14ac:dyDescent="0.25">
      <c r="A725" s="6">
        <v>44411</v>
      </c>
      <c r="B725" t="s">
        <v>28</v>
      </c>
      <c r="C725" s="2">
        <v>1093</v>
      </c>
    </row>
    <row r="726" spans="1:3" x14ac:dyDescent="0.25">
      <c r="A726" s="6">
        <v>44418</v>
      </c>
      <c r="B726" t="s">
        <v>26</v>
      </c>
      <c r="C726" s="2">
        <v>841</v>
      </c>
    </row>
    <row r="727" spans="1:3" x14ac:dyDescent="0.25">
      <c r="A727" s="6">
        <v>44266</v>
      </c>
      <c r="B727" t="s">
        <v>26</v>
      </c>
      <c r="C727" s="2">
        <v>994</v>
      </c>
    </row>
    <row r="728" spans="1:3" x14ac:dyDescent="0.25">
      <c r="A728" s="6">
        <v>44270</v>
      </c>
      <c r="B728" t="s">
        <v>28</v>
      </c>
      <c r="C728" s="2">
        <v>1055</v>
      </c>
    </row>
    <row r="729" spans="1:3" x14ac:dyDescent="0.25">
      <c r="A729" s="6">
        <v>44276</v>
      </c>
      <c r="B729" t="s">
        <v>26</v>
      </c>
      <c r="C729" s="2">
        <v>962</v>
      </c>
    </row>
    <row r="730" spans="1:3" x14ac:dyDescent="0.25">
      <c r="A730" s="6">
        <v>44308</v>
      </c>
      <c r="B730" t="s">
        <v>26</v>
      </c>
      <c r="C730" s="2">
        <v>888</v>
      </c>
    </row>
    <row r="731" spans="1:3" x14ac:dyDescent="0.25">
      <c r="A731" s="6">
        <v>44283</v>
      </c>
      <c r="B731" t="s">
        <v>26</v>
      </c>
      <c r="C731" s="2">
        <v>1128</v>
      </c>
    </row>
    <row r="732" spans="1:3" x14ac:dyDescent="0.25">
      <c r="A732" s="6">
        <v>44362</v>
      </c>
      <c r="B732" t="s">
        <v>27</v>
      </c>
      <c r="C732" s="2">
        <v>846</v>
      </c>
    </row>
    <row r="733" spans="1:3" x14ac:dyDescent="0.25">
      <c r="A733" s="6">
        <v>44206</v>
      </c>
      <c r="B733" t="s">
        <v>25</v>
      </c>
      <c r="C733" s="2">
        <v>832</v>
      </c>
    </row>
    <row r="734" spans="1:3" x14ac:dyDescent="0.25">
      <c r="A734" s="6">
        <v>44338</v>
      </c>
      <c r="B734" t="s">
        <v>27</v>
      </c>
      <c r="C734" s="2">
        <v>1116</v>
      </c>
    </row>
    <row r="735" spans="1:3" x14ac:dyDescent="0.25">
      <c r="A735" s="6">
        <v>44468</v>
      </c>
      <c r="B735" t="s">
        <v>25</v>
      </c>
      <c r="C735" s="2">
        <v>920</v>
      </c>
    </row>
    <row r="736" spans="1:3" x14ac:dyDescent="0.25">
      <c r="A736" s="6">
        <v>44392</v>
      </c>
      <c r="B736" t="s">
        <v>25</v>
      </c>
      <c r="C736" s="2">
        <v>1082</v>
      </c>
    </row>
    <row r="737" spans="1:3" x14ac:dyDescent="0.25">
      <c r="A737" s="6">
        <v>44558</v>
      </c>
      <c r="B737" t="s">
        <v>28</v>
      </c>
      <c r="C737" s="2">
        <v>844</v>
      </c>
    </row>
    <row r="738" spans="1:3" x14ac:dyDescent="0.25">
      <c r="A738" s="6">
        <v>44553</v>
      </c>
      <c r="B738" t="s">
        <v>28</v>
      </c>
      <c r="C738" s="2">
        <v>988</v>
      </c>
    </row>
    <row r="739" spans="1:3" x14ac:dyDescent="0.25">
      <c r="A739" s="6">
        <v>44404</v>
      </c>
      <c r="B739" t="s">
        <v>25</v>
      </c>
      <c r="C739" s="2">
        <v>1041</v>
      </c>
    </row>
    <row r="740" spans="1:3" x14ac:dyDescent="0.25">
      <c r="A740" s="6">
        <v>44446</v>
      </c>
      <c r="B740" t="s">
        <v>26</v>
      </c>
      <c r="C740" s="2">
        <v>822</v>
      </c>
    </row>
    <row r="741" spans="1:3" x14ac:dyDescent="0.25">
      <c r="A741" s="6">
        <v>44470</v>
      </c>
      <c r="B741" t="s">
        <v>28</v>
      </c>
      <c r="C741" s="2">
        <v>1196</v>
      </c>
    </row>
    <row r="742" spans="1:3" x14ac:dyDescent="0.25">
      <c r="A742" s="6">
        <v>44227</v>
      </c>
      <c r="B742" t="s">
        <v>28</v>
      </c>
      <c r="C742" s="2">
        <v>880</v>
      </c>
    </row>
    <row r="743" spans="1:3" x14ac:dyDescent="0.25">
      <c r="A743" s="6">
        <v>44512</v>
      </c>
      <c r="B743" t="s">
        <v>28</v>
      </c>
      <c r="C743" s="2">
        <v>1027</v>
      </c>
    </row>
    <row r="744" spans="1:3" x14ac:dyDescent="0.25">
      <c r="A744" s="6">
        <v>44221</v>
      </c>
      <c r="B744" t="s">
        <v>27</v>
      </c>
      <c r="C744" s="2">
        <v>822</v>
      </c>
    </row>
    <row r="745" spans="1:3" x14ac:dyDescent="0.25">
      <c r="A745" s="6">
        <v>44461</v>
      </c>
      <c r="B745" t="s">
        <v>28</v>
      </c>
      <c r="C745" s="2">
        <v>849</v>
      </c>
    </row>
    <row r="746" spans="1:3" x14ac:dyDescent="0.25">
      <c r="A746" s="6">
        <v>44400</v>
      </c>
      <c r="B746" t="s">
        <v>26</v>
      </c>
      <c r="C746" s="2">
        <v>1099</v>
      </c>
    </row>
    <row r="747" spans="1:3" x14ac:dyDescent="0.25">
      <c r="A747" s="6">
        <v>44433</v>
      </c>
      <c r="B747" t="s">
        <v>27</v>
      </c>
      <c r="C747" s="2">
        <v>846</v>
      </c>
    </row>
    <row r="748" spans="1:3" x14ac:dyDescent="0.25">
      <c r="A748" s="6">
        <v>44350</v>
      </c>
      <c r="B748" t="s">
        <v>25</v>
      </c>
      <c r="C748" s="2">
        <v>901</v>
      </c>
    </row>
    <row r="749" spans="1:3" x14ac:dyDescent="0.25">
      <c r="A749" s="6">
        <v>44544</v>
      </c>
      <c r="B749" t="s">
        <v>26</v>
      </c>
      <c r="C749" s="2">
        <v>1092</v>
      </c>
    </row>
    <row r="750" spans="1:3" x14ac:dyDescent="0.25">
      <c r="A750" s="6">
        <v>44303</v>
      </c>
      <c r="B750" t="s">
        <v>28</v>
      </c>
      <c r="C750" s="2">
        <v>1111</v>
      </c>
    </row>
    <row r="751" spans="1:3" x14ac:dyDescent="0.25">
      <c r="A751" s="6">
        <v>44401</v>
      </c>
      <c r="B751" t="s">
        <v>25</v>
      </c>
      <c r="C751" s="2">
        <v>951</v>
      </c>
    </row>
    <row r="752" spans="1:3" x14ac:dyDescent="0.25">
      <c r="A752" s="6">
        <v>44346</v>
      </c>
      <c r="B752" t="s">
        <v>25</v>
      </c>
      <c r="C752" s="2">
        <v>827</v>
      </c>
    </row>
    <row r="753" spans="1:3" x14ac:dyDescent="0.25">
      <c r="A753" s="6">
        <v>44543</v>
      </c>
      <c r="B753" t="s">
        <v>27</v>
      </c>
      <c r="C753" s="2">
        <v>913</v>
      </c>
    </row>
    <row r="754" spans="1:3" x14ac:dyDescent="0.25">
      <c r="A754" s="6">
        <v>44294</v>
      </c>
      <c r="B754" t="s">
        <v>28</v>
      </c>
      <c r="C754" s="2">
        <v>934</v>
      </c>
    </row>
    <row r="755" spans="1:3" x14ac:dyDescent="0.25">
      <c r="A755" s="6">
        <v>44416</v>
      </c>
      <c r="B755" t="s">
        <v>27</v>
      </c>
      <c r="C755" s="2">
        <v>1081</v>
      </c>
    </row>
    <row r="756" spans="1:3" x14ac:dyDescent="0.25">
      <c r="A756" s="6">
        <v>44313</v>
      </c>
      <c r="B756" t="s">
        <v>26</v>
      </c>
      <c r="C756" s="2">
        <v>1049</v>
      </c>
    </row>
    <row r="757" spans="1:3" x14ac:dyDescent="0.25">
      <c r="A757" s="6">
        <v>44280</v>
      </c>
      <c r="B757" t="s">
        <v>25</v>
      </c>
      <c r="C757" s="2">
        <v>1098</v>
      </c>
    </row>
    <row r="758" spans="1:3" x14ac:dyDescent="0.25">
      <c r="A758" s="6">
        <v>44427</v>
      </c>
      <c r="B758" t="s">
        <v>25</v>
      </c>
      <c r="C758" s="2">
        <v>1007</v>
      </c>
    </row>
    <row r="759" spans="1:3" x14ac:dyDescent="0.25">
      <c r="A759" s="6">
        <v>44531</v>
      </c>
      <c r="B759" t="s">
        <v>26</v>
      </c>
      <c r="C759" s="2">
        <v>966</v>
      </c>
    </row>
    <row r="760" spans="1:3" x14ac:dyDescent="0.25">
      <c r="A760" s="6">
        <v>44415</v>
      </c>
      <c r="B760" t="s">
        <v>26</v>
      </c>
      <c r="C760" s="2">
        <v>1051</v>
      </c>
    </row>
    <row r="761" spans="1:3" x14ac:dyDescent="0.25">
      <c r="A761" s="6">
        <v>44210</v>
      </c>
      <c r="B761" t="s">
        <v>27</v>
      </c>
      <c r="C761" s="2">
        <v>922</v>
      </c>
    </row>
    <row r="762" spans="1:3" x14ac:dyDescent="0.25">
      <c r="A762" s="6">
        <v>44400</v>
      </c>
      <c r="B762" t="s">
        <v>26</v>
      </c>
      <c r="C762" s="2">
        <v>931</v>
      </c>
    </row>
    <row r="763" spans="1:3" x14ac:dyDescent="0.25">
      <c r="A763" s="6">
        <v>44355</v>
      </c>
      <c r="B763" t="s">
        <v>28</v>
      </c>
      <c r="C763" s="2">
        <v>1044</v>
      </c>
    </row>
    <row r="764" spans="1:3" x14ac:dyDescent="0.25">
      <c r="A764" s="6">
        <v>44557</v>
      </c>
      <c r="B764" t="s">
        <v>26</v>
      </c>
      <c r="C764" s="2">
        <v>1108</v>
      </c>
    </row>
    <row r="765" spans="1:3" x14ac:dyDescent="0.25">
      <c r="A765" s="6">
        <v>44323</v>
      </c>
      <c r="B765" t="s">
        <v>27</v>
      </c>
      <c r="C765" s="2">
        <v>1090</v>
      </c>
    </row>
    <row r="766" spans="1:3" x14ac:dyDescent="0.25">
      <c r="A766" s="6">
        <v>44360</v>
      </c>
      <c r="B766" t="s">
        <v>25</v>
      </c>
      <c r="C766" s="2">
        <v>813</v>
      </c>
    </row>
    <row r="767" spans="1:3" x14ac:dyDescent="0.25">
      <c r="A767" s="6">
        <v>44213</v>
      </c>
      <c r="B767" t="s">
        <v>25</v>
      </c>
      <c r="C767" s="2">
        <v>1111</v>
      </c>
    </row>
    <row r="768" spans="1:3" x14ac:dyDescent="0.25">
      <c r="A768" s="6">
        <v>44501</v>
      </c>
      <c r="B768" t="s">
        <v>28</v>
      </c>
      <c r="C768" s="2">
        <v>959</v>
      </c>
    </row>
    <row r="769" spans="1:3" x14ac:dyDescent="0.25">
      <c r="A769" s="6">
        <v>44470</v>
      </c>
      <c r="B769" t="s">
        <v>25</v>
      </c>
      <c r="C769" s="2">
        <v>936</v>
      </c>
    </row>
    <row r="770" spans="1:3" x14ac:dyDescent="0.25">
      <c r="A770" s="6">
        <v>44529</v>
      </c>
      <c r="B770" t="s">
        <v>25</v>
      </c>
      <c r="C770" s="2">
        <v>1037</v>
      </c>
    </row>
    <row r="771" spans="1:3" x14ac:dyDescent="0.25">
      <c r="A771" s="6">
        <v>44444</v>
      </c>
      <c r="B771" t="s">
        <v>27</v>
      </c>
      <c r="C771" s="2">
        <v>877</v>
      </c>
    </row>
    <row r="772" spans="1:3" x14ac:dyDescent="0.25">
      <c r="A772" s="6">
        <v>44403</v>
      </c>
      <c r="B772" t="s">
        <v>25</v>
      </c>
      <c r="C772" s="2">
        <v>1009</v>
      </c>
    </row>
    <row r="773" spans="1:3" x14ac:dyDescent="0.25">
      <c r="A773" s="6">
        <v>44499</v>
      </c>
      <c r="B773" t="s">
        <v>26</v>
      </c>
      <c r="C773" s="2">
        <v>923</v>
      </c>
    </row>
    <row r="774" spans="1:3" x14ac:dyDescent="0.25">
      <c r="A774" s="6">
        <v>44420</v>
      </c>
      <c r="B774" t="s">
        <v>26</v>
      </c>
      <c r="C774" s="2">
        <v>1046</v>
      </c>
    </row>
    <row r="775" spans="1:3" x14ac:dyDescent="0.25">
      <c r="A775" s="6">
        <v>44285</v>
      </c>
      <c r="B775" t="s">
        <v>27</v>
      </c>
      <c r="C775" s="2">
        <v>822</v>
      </c>
    </row>
    <row r="776" spans="1:3" x14ac:dyDescent="0.25">
      <c r="A776" s="6">
        <v>44490</v>
      </c>
      <c r="B776" t="s">
        <v>25</v>
      </c>
      <c r="C776" s="2">
        <v>1178</v>
      </c>
    </row>
    <row r="777" spans="1:3" x14ac:dyDescent="0.25">
      <c r="A777" s="6">
        <v>44475</v>
      </c>
      <c r="B777" t="s">
        <v>26</v>
      </c>
      <c r="C777" s="2">
        <v>1044</v>
      </c>
    </row>
    <row r="778" spans="1:3" x14ac:dyDescent="0.25">
      <c r="A778" s="6">
        <v>44229</v>
      </c>
      <c r="B778" t="s">
        <v>26</v>
      </c>
      <c r="C778" s="2">
        <v>962</v>
      </c>
    </row>
    <row r="779" spans="1:3" x14ac:dyDescent="0.25">
      <c r="A779" s="6">
        <v>44469</v>
      </c>
      <c r="B779" t="s">
        <v>26</v>
      </c>
      <c r="C779" s="2">
        <v>1105</v>
      </c>
    </row>
    <row r="780" spans="1:3" x14ac:dyDescent="0.25">
      <c r="A780" s="6">
        <v>44418</v>
      </c>
      <c r="B780" t="s">
        <v>27</v>
      </c>
      <c r="C780" s="2">
        <v>1038</v>
      </c>
    </row>
    <row r="781" spans="1:3" x14ac:dyDescent="0.25">
      <c r="A781" s="6">
        <v>44423</v>
      </c>
      <c r="B781" t="s">
        <v>28</v>
      </c>
      <c r="C781" s="2">
        <v>958</v>
      </c>
    </row>
    <row r="782" spans="1:3" x14ac:dyDescent="0.25">
      <c r="A782" s="6">
        <v>44235</v>
      </c>
      <c r="B782" t="s">
        <v>27</v>
      </c>
      <c r="C782" s="2">
        <v>817</v>
      </c>
    </row>
    <row r="783" spans="1:3" x14ac:dyDescent="0.25">
      <c r="A783" s="6">
        <v>44543</v>
      </c>
      <c r="B783" t="s">
        <v>27</v>
      </c>
      <c r="C783" s="2">
        <v>1012</v>
      </c>
    </row>
    <row r="784" spans="1:3" x14ac:dyDescent="0.25">
      <c r="A784" s="6">
        <v>44469</v>
      </c>
      <c r="B784" t="s">
        <v>28</v>
      </c>
      <c r="C784" s="2">
        <v>1029</v>
      </c>
    </row>
    <row r="785" spans="1:3" x14ac:dyDescent="0.25">
      <c r="A785" s="6">
        <v>44456</v>
      </c>
      <c r="B785" t="s">
        <v>26</v>
      </c>
      <c r="C785" s="2">
        <v>1055</v>
      </c>
    </row>
    <row r="786" spans="1:3" x14ac:dyDescent="0.25">
      <c r="A786" s="6">
        <v>44320</v>
      </c>
      <c r="B786" t="s">
        <v>26</v>
      </c>
      <c r="C786" s="2">
        <v>1079</v>
      </c>
    </row>
    <row r="787" spans="1:3" x14ac:dyDescent="0.25">
      <c r="A787" s="6">
        <v>44354</v>
      </c>
      <c r="B787" t="s">
        <v>27</v>
      </c>
      <c r="C787" s="2">
        <v>1171</v>
      </c>
    </row>
    <row r="788" spans="1:3" x14ac:dyDescent="0.25">
      <c r="A788" s="6">
        <v>44373</v>
      </c>
      <c r="B788" t="s">
        <v>26</v>
      </c>
      <c r="C788" s="2">
        <v>1082</v>
      </c>
    </row>
    <row r="789" spans="1:3" x14ac:dyDescent="0.25">
      <c r="A789" s="6">
        <v>44484</v>
      </c>
      <c r="B789" t="s">
        <v>25</v>
      </c>
      <c r="C789" s="2">
        <v>831</v>
      </c>
    </row>
    <row r="790" spans="1:3" x14ac:dyDescent="0.25">
      <c r="A790" s="6">
        <v>44534</v>
      </c>
      <c r="B790" t="s">
        <v>28</v>
      </c>
      <c r="C790" s="2">
        <v>851</v>
      </c>
    </row>
    <row r="791" spans="1:3" x14ac:dyDescent="0.25">
      <c r="A791" s="6">
        <v>44434</v>
      </c>
      <c r="B791" t="s">
        <v>28</v>
      </c>
      <c r="C791" s="2">
        <v>1165</v>
      </c>
    </row>
    <row r="792" spans="1:3" x14ac:dyDescent="0.25">
      <c r="A792" s="6">
        <v>44430</v>
      </c>
      <c r="B792" t="s">
        <v>26</v>
      </c>
      <c r="C792" s="2">
        <v>1020</v>
      </c>
    </row>
    <row r="793" spans="1:3" x14ac:dyDescent="0.25">
      <c r="A793" s="6">
        <v>44224</v>
      </c>
      <c r="B793" t="s">
        <v>25</v>
      </c>
      <c r="C793" s="2">
        <v>980</v>
      </c>
    </row>
    <row r="794" spans="1:3" x14ac:dyDescent="0.25">
      <c r="A794" s="6">
        <v>44207</v>
      </c>
      <c r="B794" t="s">
        <v>25</v>
      </c>
      <c r="C794" s="2">
        <v>913</v>
      </c>
    </row>
    <row r="795" spans="1:3" x14ac:dyDescent="0.25">
      <c r="A795" s="6">
        <v>44559</v>
      </c>
      <c r="B795" t="s">
        <v>28</v>
      </c>
      <c r="C795" s="2">
        <v>1040</v>
      </c>
    </row>
    <row r="796" spans="1:3" x14ac:dyDescent="0.25">
      <c r="A796" s="6">
        <v>44284</v>
      </c>
      <c r="B796" t="s">
        <v>27</v>
      </c>
      <c r="C796" s="2">
        <v>814</v>
      </c>
    </row>
    <row r="797" spans="1:3" x14ac:dyDescent="0.25">
      <c r="A797" s="6">
        <v>44441</v>
      </c>
      <c r="B797" t="s">
        <v>27</v>
      </c>
      <c r="C797" s="2">
        <v>804</v>
      </c>
    </row>
    <row r="798" spans="1:3" x14ac:dyDescent="0.25">
      <c r="A798" s="6">
        <v>44436</v>
      </c>
      <c r="B798" t="s">
        <v>28</v>
      </c>
      <c r="C798" s="2">
        <v>802</v>
      </c>
    </row>
    <row r="799" spans="1:3" x14ac:dyDescent="0.25">
      <c r="A799" s="6">
        <v>44258</v>
      </c>
      <c r="B799" t="s">
        <v>27</v>
      </c>
      <c r="C799" s="2">
        <v>911</v>
      </c>
    </row>
    <row r="800" spans="1:3" x14ac:dyDescent="0.25">
      <c r="A800" s="6">
        <v>44345</v>
      </c>
      <c r="B800" t="s">
        <v>28</v>
      </c>
      <c r="C800" s="2">
        <v>1187</v>
      </c>
    </row>
    <row r="801" spans="1:3" x14ac:dyDescent="0.25">
      <c r="A801" s="6">
        <v>44468</v>
      </c>
      <c r="B801" t="s">
        <v>27</v>
      </c>
      <c r="C801" s="2">
        <v>945</v>
      </c>
    </row>
    <row r="802" spans="1:3" x14ac:dyDescent="0.25">
      <c r="A802" s="6">
        <v>44199</v>
      </c>
      <c r="B802" t="s">
        <v>27</v>
      </c>
      <c r="C802" s="2">
        <v>1133</v>
      </c>
    </row>
    <row r="803" spans="1:3" x14ac:dyDescent="0.25">
      <c r="A803" s="6">
        <v>44504</v>
      </c>
      <c r="B803" t="s">
        <v>28</v>
      </c>
      <c r="C803" s="2">
        <v>1122</v>
      </c>
    </row>
    <row r="804" spans="1:3" x14ac:dyDescent="0.25">
      <c r="A804" s="6">
        <v>44524</v>
      </c>
      <c r="B804" t="s">
        <v>25</v>
      </c>
      <c r="C804" s="2">
        <v>1144</v>
      </c>
    </row>
    <row r="805" spans="1:3" x14ac:dyDescent="0.25">
      <c r="A805" s="6">
        <v>44484</v>
      </c>
      <c r="B805" t="s">
        <v>25</v>
      </c>
      <c r="C805" s="2">
        <v>1126</v>
      </c>
    </row>
    <row r="806" spans="1:3" x14ac:dyDescent="0.25">
      <c r="A806" s="6">
        <v>44434</v>
      </c>
      <c r="B806" t="s">
        <v>26</v>
      </c>
      <c r="C806" s="2">
        <v>839</v>
      </c>
    </row>
    <row r="807" spans="1:3" x14ac:dyDescent="0.25">
      <c r="A807" s="6">
        <v>44430</v>
      </c>
      <c r="B807" t="s">
        <v>25</v>
      </c>
      <c r="C807" s="2">
        <v>1024</v>
      </c>
    </row>
    <row r="808" spans="1:3" x14ac:dyDescent="0.25">
      <c r="A808" s="6">
        <v>44394</v>
      </c>
      <c r="B808" t="s">
        <v>27</v>
      </c>
      <c r="C808" s="2">
        <v>867</v>
      </c>
    </row>
    <row r="809" spans="1:3" x14ac:dyDescent="0.25">
      <c r="A809" s="6">
        <v>44453</v>
      </c>
      <c r="B809" t="s">
        <v>25</v>
      </c>
      <c r="C809" s="2">
        <v>1019</v>
      </c>
    </row>
    <row r="810" spans="1:3" x14ac:dyDescent="0.25">
      <c r="A810" s="6">
        <v>44290</v>
      </c>
      <c r="B810" t="s">
        <v>28</v>
      </c>
      <c r="C810" s="2">
        <v>898</v>
      </c>
    </row>
    <row r="811" spans="1:3" x14ac:dyDescent="0.25">
      <c r="A811" s="6">
        <v>44316</v>
      </c>
      <c r="B811" t="s">
        <v>28</v>
      </c>
      <c r="C811" s="2">
        <v>1134</v>
      </c>
    </row>
    <row r="812" spans="1:3" x14ac:dyDescent="0.25">
      <c r="A812" s="6">
        <v>44460</v>
      </c>
      <c r="B812" t="s">
        <v>28</v>
      </c>
      <c r="C812" s="2">
        <v>1181</v>
      </c>
    </row>
    <row r="813" spans="1:3" x14ac:dyDescent="0.25">
      <c r="A813" s="6">
        <v>44500</v>
      </c>
      <c r="B813" t="s">
        <v>25</v>
      </c>
      <c r="C813" s="2">
        <v>921</v>
      </c>
    </row>
    <row r="814" spans="1:3" x14ac:dyDescent="0.25">
      <c r="A814" s="6">
        <v>44386</v>
      </c>
      <c r="B814" t="s">
        <v>26</v>
      </c>
      <c r="C814" s="2">
        <v>1181</v>
      </c>
    </row>
    <row r="815" spans="1:3" x14ac:dyDescent="0.25">
      <c r="A815" s="6">
        <v>44489</v>
      </c>
      <c r="B815" t="s">
        <v>25</v>
      </c>
      <c r="C815" s="2">
        <v>908</v>
      </c>
    </row>
    <row r="816" spans="1:3" x14ac:dyDescent="0.25">
      <c r="A816" s="6">
        <v>44522</v>
      </c>
      <c r="B816" t="s">
        <v>25</v>
      </c>
      <c r="C816" s="2">
        <v>1184</v>
      </c>
    </row>
    <row r="817" spans="1:3" x14ac:dyDescent="0.25">
      <c r="A817" s="6">
        <v>44483</v>
      </c>
      <c r="B817" t="s">
        <v>26</v>
      </c>
      <c r="C817" s="2">
        <v>856</v>
      </c>
    </row>
    <row r="818" spans="1:3" x14ac:dyDescent="0.25">
      <c r="A818" s="6">
        <v>44279</v>
      </c>
      <c r="B818" t="s">
        <v>26</v>
      </c>
      <c r="C818" s="2">
        <v>990</v>
      </c>
    </row>
    <row r="819" spans="1:3" x14ac:dyDescent="0.25">
      <c r="A819" s="6">
        <v>44481</v>
      </c>
      <c r="B819" t="s">
        <v>26</v>
      </c>
      <c r="C819" s="2">
        <v>938</v>
      </c>
    </row>
    <row r="820" spans="1:3" x14ac:dyDescent="0.25">
      <c r="A820" s="6">
        <v>44461</v>
      </c>
      <c r="B820" t="s">
        <v>25</v>
      </c>
      <c r="C820" s="2">
        <v>1105</v>
      </c>
    </row>
    <row r="821" spans="1:3" x14ac:dyDescent="0.25">
      <c r="A821" s="6">
        <v>44202</v>
      </c>
      <c r="B821" t="s">
        <v>25</v>
      </c>
      <c r="C821" s="2">
        <v>1120</v>
      </c>
    </row>
    <row r="822" spans="1:3" x14ac:dyDescent="0.25">
      <c r="A822" s="6">
        <v>44530</v>
      </c>
      <c r="B822" t="s">
        <v>25</v>
      </c>
      <c r="C822" s="2">
        <v>930</v>
      </c>
    </row>
    <row r="823" spans="1:3" x14ac:dyDescent="0.25">
      <c r="A823" s="6">
        <v>44526</v>
      </c>
      <c r="B823" t="s">
        <v>26</v>
      </c>
      <c r="C823" s="2">
        <v>1154</v>
      </c>
    </row>
    <row r="824" spans="1:3" x14ac:dyDescent="0.25">
      <c r="A824" s="6">
        <v>44358</v>
      </c>
      <c r="B824" t="s">
        <v>27</v>
      </c>
      <c r="C824" s="2">
        <v>912</v>
      </c>
    </row>
    <row r="825" spans="1:3" x14ac:dyDescent="0.25">
      <c r="A825" s="6">
        <v>44461</v>
      </c>
      <c r="B825" t="s">
        <v>25</v>
      </c>
      <c r="C825" s="2">
        <v>819</v>
      </c>
    </row>
    <row r="826" spans="1:3" x14ac:dyDescent="0.25">
      <c r="A826" s="6">
        <v>44341</v>
      </c>
      <c r="B826" t="s">
        <v>25</v>
      </c>
      <c r="C826" s="2">
        <v>805</v>
      </c>
    </row>
    <row r="827" spans="1:3" x14ac:dyDescent="0.25">
      <c r="A827" s="6">
        <v>44374</v>
      </c>
      <c r="B827" t="s">
        <v>28</v>
      </c>
      <c r="C827" s="2">
        <v>917</v>
      </c>
    </row>
    <row r="828" spans="1:3" x14ac:dyDescent="0.25">
      <c r="A828" s="6">
        <v>44326</v>
      </c>
      <c r="B828" t="s">
        <v>27</v>
      </c>
      <c r="C828" s="2">
        <v>1114</v>
      </c>
    </row>
    <row r="829" spans="1:3" x14ac:dyDescent="0.25">
      <c r="A829" s="6">
        <v>44393</v>
      </c>
      <c r="B829" t="s">
        <v>27</v>
      </c>
      <c r="C829" s="2">
        <v>1139</v>
      </c>
    </row>
    <row r="830" spans="1:3" x14ac:dyDescent="0.25">
      <c r="A830" s="6">
        <v>44434</v>
      </c>
      <c r="B830" t="s">
        <v>25</v>
      </c>
      <c r="C830" s="2">
        <v>905</v>
      </c>
    </row>
    <row r="831" spans="1:3" x14ac:dyDescent="0.25">
      <c r="A831" s="6">
        <v>44301</v>
      </c>
      <c r="B831" t="s">
        <v>26</v>
      </c>
      <c r="C831" s="2">
        <v>1033</v>
      </c>
    </row>
    <row r="832" spans="1:3" x14ac:dyDescent="0.25">
      <c r="A832" s="6">
        <v>44432</v>
      </c>
      <c r="B832" t="s">
        <v>28</v>
      </c>
      <c r="C832" s="2">
        <v>813</v>
      </c>
    </row>
    <row r="833" spans="1:3" x14ac:dyDescent="0.25">
      <c r="A833" s="6">
        <v>44336</v>
      </c>
      <c r="B833" t="s">
        <v>26</v>
      </c>
      <c r="C833" s="2">
        <v>1082</v>
      </c>
    </row>
    <row r="834" spans="1:3" x14ac:dyDescent="0.25">
      <c r="A834" s="6">
        <v>44413</v>
      </c>
      <c r="B834" t="s">
        <v>26</v>
      </c>
      <c r="C834" s="2">
        <v>949</v>
      </c>
    </row>
    <row r="835" spans="1:3" x14ac:dyDescent="0.25">
      <c r="A835" s="6">
        <v>44336</v>
      </c>
      <c r="B835" t="s">
        <v>27</v>
      </c>
      <c r="C835" s="2">
        <v>897</v>
      </c>
    </row>
    <row r="836" spans="1:3" x14ac:dyDescent="0.25">
      <c r="A836" s="6">
        <v>44411</v>
      </c>
      <c r="B836" t="s">
        <v>28</v>
      </c>
      <c r="C836" s="2">
        <v>990</v>
      </c>
    </row>
    <row r="837" spans="1:3" x14ac:dyDescent="0.25">
      <c r="A837" s="6">
        <v>44350</v>
      </c>
      <c r="B837" t="s">
        <v>28</v>
      </c>
      <c r="C837" s="2">
        <v>916</v>
      </c>
    </row>
    <row r="838" spans="1:3" x14ac:dyDescent="0.25">
      <c r="A838" s="6">
        <v>44294</v>
      </c>
      <c r="B838" t="s">
        <v>25</v>
      </c>
      <c r="C838" s="2">
        <v>982</v>
      </c>
    </row>
    <row r="839" spans="1:3" x14ac:dyDescent="0.25">
      <c r="A839" s="6">
        <v>44403</v>
      </c>
      <c r="B839" t="s">
        <v>27</v>
      </c>
      <c r="C839" s="2">
        <v>1062</v>
      </c>
    </row>
    <row r="840" spans="1:3" x14ac:dyDescent="0.25">
      <c r="A840" s="6">
        <v>44413</v>
      </c>
      <c r="B840" t="s">
        <v>26</v>
      </c>
      <c r="C840" s="2">
        <v>1124</v>
      </c>
    </row>
    <row r="841" spans="1:3" x14ac:dyDescent="0.25">
      <c r="A841" s="6">
        <v>44454</v>
      </c>
      <c r="B841" t="s">
        <v>27</v>
      </c>
      <c r="C841" s="2">
        <v>998</v>
      </c>
    </row>
    <row r="842" spans="1:3" x14ac:dyDescent="0.25">
      <c r="A842" s="6">
        <v>44270</v>
      </c>
      <c r="B842" t="s">
        <v>28</v>
      </c>
      <c r="C842" s="2">
        <v>881</v>
      </c>
    </row>
    <row r="843" spans="1:3" x14ac:dyDescent="0.25">
      <c r="A843" s="6">
        <v>44283</v>
      </c>
      <c r="B843" t="s">
        <v>28</v>
      </c>
      <c r="C843" s="2">
        <v>903</v>
      </c>
    </row>
    <row r="844" spans="1:3" x14ac:dyDescent="0.25">
      <c r="A844" s="6">
        <v>44233</v>
      </c>
      <c r="B844" t="s">
        <v>25</v>
      </c>
      <c r="C844" s="2">
        <v>1154</v>
      </c>
    </row>
    <row r="845" spans="1:3" x14ac:dyDescent="0.25">
      <c r="A845" s="6">
        <v>44301</v>
      </c>
      <c r="B845" t="s">
        <v>27</v>
      </c>
      <c r="C845" s="2">
        <v>999</v>
      </c>
    </row>
    <row r="846" spans="1:3" x14ac:dyDescent="0.25">
      <c r="A846" s="6">
        <v>44273</v>
      </c>
      <c r="B846" t="s">
        <v>26</v>
      </c>
      <c r="C846" s="2">
        <v>841</v>
      </c>
    </row>
    <row r="847" spans="1:3" x14ac:dyDescent="0.25">
      <c r="A847" s="6">
        <v>44444</v>
      </c>
      <c r="B847" t="s">
        <v>26</v>
      </c>
      <c r="C847" s="2">
        <v>816</v>
      </c>
    </row>
    <row r="848" spans="1:3" x14ac:dyDescent="0.25">
      <c r="A848" s="6">
        <v>44345</v>
      </c>
      <c r="B848" t="s">
        <v>28</v>
      </c>
      <c r="C848" s="2">
        <v>913</v>
      </c>
    </row>
    <row r="849" spans="1:3" x14ac:dyDescent="0.25">
      <c r="A849" s="6">
        <v>44555</v>
      </c>
      <c r="B849" t="s">
        <v>25</v>
      </c>
      <c r="C849" s="2">
        <v>978</v>
      </c>
    </row>
    <row r="850" spans="1:3" x14ac:dyDescent="0.25">
      <c r="A850" s="6">
        <v>44520</v>
      </c>
      <c r="B850" t="s">
        <v>25</v>
      </c>
      <c r="C850" s="2">
        <v>1076</v>
      </c>
    </row>
    <row r="851" spans="1:3" x14ac:dyDescent="0.25">
      <c r="A851" s="6">
        <v>44448</v>
      </c>
      <c r="B851" t="s">
        <v>25</v>
      </c>
      <c r="C851" s="2">
        <v>1001</v>
      </c>
    </row>
    <row r="852" spans="1:3" x14ac:dyDescent="0.25">
      <c r="A852" s="6">
        <v>44389</v>
      </c>
      <c r="B852" t="s">
        <v>26</v>
      </c>
      <c r="C852" s="2">
        <v>1097</v>
      </c>
    </row>
    <row r="853" spans="1:3" x14ac:dyDescent="0.25">
      <c r="A853" s="6">
        <v>44505</v>
      </c>
      <c r="B853" t="s">
        <v>26</v>
      </c>
      <c r="C853" s="2">
        <v>1159</v>
      </c>
    </row>
    <row r="854" spans="1:3" x14ac:dyDescent="0.25">
      <c r="A854" s="6">
        <v>44269</v>
      </c>
      <c r="B854" t="s">
        <v>25</v>
      </c>
      <c r="C854" s="2">
        <v>962</v>
      </c>
    </row>
    <row r="855" spans="1:3" x14ac:dyDescent="0.25">
      <c r="A855" s="6">
        <v>44482</v>
      </c>
      <c r="B855" t="s">
        <v>27</v>
      </c>
      <c r="C855" s="2">
        <v>1037</v>
      </c>
    </row>
    <row r="856" spans="1:3" x14ac:dyDescent="0.25">
      <c r="A856" s="6">
        <v>44445</v>
      </c>
      <c r="B856" t="s">
        <v>28</v>
      </c>
      <c r="C856" s="2">
        <v>1198</v>
      </c>
    </row>
    <row r="857" spans="1:3" x14ac:dyDescent="0.25">
      <c r="A857" s="6">
        <v>44340</v>
      </c>
      <c r="B857" t="s">
        <v>26</v>
      </c>
      <c r="C857" s="2">
        <v>991</v>
      </c>
    </row>
    <row r="858" spans="1:3" x14ac:dyDescent="0.25">
      <c r="A858" s="6">
        <v>44277</v>
      </c>
      <c r="B858" t="s">
        <v>27</v>
      </c>
      <c r="C858" s="2">
        <v>1090</v>
      </c>
    </row>
    <row r="859" spans="1:3" x14ac:dyDescent="0.25">
      <c r="A859" s="6">
        <v>44200</v>
      </c>
      <c r="B859" t="s">
        <v>25</v>
      </c>
      <c r="C859" s="2">
        <v>1130</v>
      </c>
    </row>
    <row r="860" spans="1:3" x14ac:dyDescent="0.25">
      <c r="A860" s="6">
        <v>44431</v>
      </c>
      <c r="B860" t="s">
        <v>26</v>
      </c>
      <c r="C860" s="2">
        <v>947</v>
      </c>
    </row>
    <row r="861" spans="1:3" x14ac:dyDescent="0.25">
      <c r="A861" s="6">
        <v>44519</v>
      </c>
      <c r="B861" t="s">
        <v>28</v>
      </c>
      <c r="C861" s="2">
        <v>985</v>
      </c>
    </row>
    <row r="862" spans="1:3" x14ac:dyDescent="0.25">
      <c r="A862" s="6">
        <v>44320</v>
      </c>
      <c r="B862" t="s">
        <v>28</v>
      </c>
      <c r="C862" s="2">
        <v>1074</v>
      </c>
    </row>
    <row r="863" spans="1:3" x14ac:dyDescent="0.25">
      <c r="A863" s="6">
        <v>44326</v>
      </c>
      <c r="B863" t="s">
        <v>28</v>
      </c>
      <c r="C863" s="2">
        <v>801</v>
      </c>
    </row>
    <row r="864" spans="1:3" x14ac:dyDescent="0.25">
      <c r="A864" s="6">
        <v>44512</v>
      </c>
      <c r="B864" t="s">
        <v>26</v>
      </c>
      <c r="C864" s="2">
        <v>838</v>
      </c>
    </row>
    <row r="865" spans="1:3" x14ac:dyDescent="0.25">
      <c r="A865" s="6">
        <v>44206</v>
      </c>
      <c r="B865" t="s">
        <v>26</v>
      </c>
      <c r="C865" s="2">
        <v>1000</v>
      </c>
    </row>
    <row r="866" spans="1:3" x14ac:dyDescent="0.25">
      <c r="A866" s="6">
        <v>44300</v>
      </c>
      <c r="B866" t="s">
        <v>26</v>
      </c>
      <c r="C866" s="2">
        <v>840</v>
      </c>
    </row>
    <row r="867" spans="1:3" x14ac:dyDescent="0.25">
      <c r="A867" s="6">
        <v>44542</v>
      </c>
      <c r="B867" t="s">
        <v>25</v>
      </c>
      <c r="C867" s="2">
        <v>1097</v>
      </c>
    </row>
    <row r="868" spans="1:3" x14ac:dyDescent="0.25">
      <c r="A868" s="6">
        <v>44225</v>
      </c>
      <c r="B868" t="s">
        <v>27</v>
      </c>
      <c r="C868" s="2">
        <v>1086</v>
      </c>
    </row>
    <row r="869" spans="1:3" x14ac:dyDescent="0.25">
      <c r="A869" s="6">
        <v>44480</v>
      </c>
      <c r="B869" t="s">
        <v>26</v>
      </c>
      <c r="C869" s="2">
        <v>996</v>
      </c>
    </row>
    <row r="870" spans="1:3" x14ac:dyDescent="0.25">
      <c r="A870" s="6">
        <v>44559</v>
      </c>
      <c r="B870" t="s">
        <v>25</v>
      </c>
      <c r="C870" s="2">
        <v>1084</v>
      </c>
    </row>
    <row r="871" spans="1:3" x14ac:dyDescent="0.25">
      <c r="A871" s="6">
        <v>44227</v>
      </c>
      <c r="B871" t="s">
        <v>25</v>
      </c>
      <c r="C871" s="2">
        <v>1137</v>
      </c>
    </row>
    <row r="872" spans="1:3" x14ac:dyDescent="0.25">
      <c r="A872" s="6">
        <v>44254</v>
      </c>
      <c r="B872" t="s">
        <v>25</v>
      </c>
      <c r="C872" s="2">
        <v>1000</v>
      </c>
    </row>
    <row r="873" spans="1:3" x14ac:dyDescent="0.25">
      <c r="A873" s="6">
        <v>44291</v>
      </c>
      <c r="B873" t="s">
        <v>25</v>
      </c>
      <c r="C873" s="2">
        <v>853</v>
      </c>
    </row>
    <row r="874" spans="1:3" x14ac:dyDescent="0.25">
      <c r="A874" s="6">
        <v>44495</v>
      </c>
      <c r="B874" t="s">
        <v>28</v>
      </c>
      <c r="C874" s="2">
        <v>820</v>
      </c>
    </row>
    <row r="875" spans="1:3" x14ac:dyDescent="0.25">
      <c r="A875" s="6">
        <v>44415</v>
      </c>
      <c r="B875" t="s">
        <v>28</v>
      </c>
      <c r="C875" s="2">
        <v>1103</v>
      </c>
    </row>
    <row r="876" spans="1:3" x14ac:dyDescent="0.25">
      <c r="A876" s="6">
        <v>44503</v>
      </c>
      <c r="B876" t="s">
        <v>27</v>
      </c>
      <c r="C876" s="2">
        <v>955</v>
      </c>
    </row>
    <row r="877" spans="1:3" x14ac:dyDescent="0.25">
      <c r="A877" s="6">
        <v>44433</v>
      </c>
      <c r="B877" t="s">
        <v>27</v>
      </c>
      <c r="C877" s="2">
        <v>1045</v>
      </c>
    </row>
    <row r="878" spans="1:3" x14ac:dyDescent="0.25">
      <c r="A878" s="6">
        <v>44409</v>
      </c>
      <c r="B878" t="s">
        <v>28</v>
      </c>
      <c r="C878" s="2">
        <v>1149</v>
      </c>
    </row>
    <row r="879" spans="1:3" x14ac:dyDescent="0.25">
      <c r="A879" s="6">
        <v>44209</v>
      </c>
      <c r="B879" t="s">
        <v>28</v>
      </c>
      <c r="C879" s="2">
        <v>1170</v>
      </c>
    </row>
    <row r="880" spans="1:3" x14ac:dyDescent="0.25">
      <c r="A880" s="6">
        <v>44419</v>
      </c>
      <c r="B880" t="s">
        <v>25</v>
      </c>
      <c r="C880" s="2">
        <v>974</v>
      </c>
    </row>
    <row r="881" spans="1:3" x14ac:dyDescent="0.25">
      <c r="A881" s="6">
        <v>44451</v>
      </c>
      <c r="B881" t="s">
        <v>26</v>
      </c>
      <c r="C881" s="2">
        <v>1186</v>
      </c>
    </row>
    <row r="882" spans="1:3" x14ac:dyDescent="0.25">
      <c r="A882" s="6">
        <v>44374</v>
      </c>
      <c r="B882" t="s">
        <v>28</v>
      </c>
      <c r="C882" s="2">
        <v>1042</v>
      </c>
    </row>
    <row r="883" spans="1:3" x14ac:dyDescent="0.25">
      <c r="A883" s="6">
        <v>44282</v>
      </c>
      <c r="B883" t="s">
        <v>26</v>
      </c>
      <c r="C883" s="2">
        <v>1081</v>
      </c>
    </row>
    <row r="884" spans="1:3" x14ac:dyDescent="0.25">
      <c r="A884" s="6">
        <v>44218</v>
      </c>
      <c r="B884" t="s">
        <v>25</v>
      </c>
      <c r="C884" s="2">
        <v>1075</v>
      </c>
    </row>
    <row r="885" spans="1:3" x14ac:dyDescent="0.25">
      <c r="A885" s="6">
        <v>44260</v>
      </c>
      <c r="B885" t="s">
        <v>27</v>
      </c>
      <c r="C885" s="2">
        <v>1051</v>
      </c>
    </row>
    <row r="886" spans="1:3" x14ac:dyDescent="0.25">
      <c r="A886" s="6">
        <v>44223</v>
      </c>
      <c r="B886" t="s">
        <v>28</v>
      </c>
      <c r="C886" s="2">
        <v>916</v>
      </c>
    </row>
    <row r="887" spans="1:3" x14ac:dyDescent="0.25">
      <c r="A887" s="6">
        <v>44382</v>
      </c>
      <c r="B887" t="s">
        <v>28</v>
      </c>
      <c r="C887" s="2">
        <v>1167</v>
      </c>
    </row>
    <row r="888" spans="1:3" x14ac:dyDescent="0.25">
      <c r="A888" s="6">
        <v>44265</v>
      </c>
      <c r="B888" t="s">
        <v>25</v>
      </c>
      <c r="C888" s="2">
        <v>1018</v>
      </c>
    </row>
    <row r="889" spans="1:3" x14ac:dyDescent="0.25">
      <c r="A889" s="6">
        <v>44428</v>
      </c>
      <c r="B889" t="s">
        <v>28</v>
      </c>
      <c r="C889" s="2">
        <v>1157</v>
      </c>
    </row>
    <row r="890" spans="1:3" x14ac:dyDescent="0.25">
      <c r="A890" s="6">
        <v>44498</v>
      </c>
      <c r="B890" t="s">
        <v>26</v>
      </c>
      <c r="C890" s="2">
        <v>1039</v>
      </c>
    </row>
    <row r="891" spans="1:3" x14ac:dyDescent="0.25">
      <c r="A891" s="6">
        <v>44550</v>
      </c>
      <c r="B891" t="s">
        <v>25</v>
      </c>
      <c r="C891" s="2">
        <v>835</v>
      </c>
    </row>
    <row r="892" spans="1:3" x14ac:dyDescent="0.25">
      <c r="A892" s="6">
        <v>44277</v>
      </c>
      <c r="B892" t="s">
        <v>27</v>
      </c>
      <c r="C892" s="2">
        <v>989</v>
      </c>
    </row>
    <row r="893" spans="1:3" x14ac:dyDescent="0.25">
      <c r="A893" s="6">
        <v>44472</v>
      </c>
      <c r="B893" t="s">
        <v>25</v>
      </c>
      <c r="C893" s="2">
        <v>1102</v>
      </c>
    </row>
    <row r="894" spans="1:3" x14ac:dyDescent="0.25">
      <c r="A894" s="6">
        <v>44403</v>
      </c>
      <c r="B894" t="s">
        <v>27</v>
      </c>
      <c r="C894" s="2">
        <v>894</v>
      </c>
    </row>
    <row r="895" spans="1:3" x14ac:dyDescent="0.25">
      <c r="A895" s="6">
        <v>44255</v>
      </c>
      <c r="B895" t="s">
        <v>27</v>
      </c>
      <c r="C895" s="2">
        <v>967</v>
      </c>
    </row>
    <row r="896" spans="1:3" x14ac:dyDescent="0.25">
      <c r="A896" s="6">
        <v>44473</v>
      </c>
      <c r="B896" t="s">
        <v>25</v>
      </c>
      <c r="C896" s="2">
        <v>1079</v>
      </c>
    </row>
    <row r="897" spans="1:3" x14ac:dyDescent="0.25">
      <c r="A897" s="6">
        <v>44283</v>
      </c>
      <c r="B897" t="s">
        <v>28</v>
      </c>
      <c r="C897" s="2">
        <v>1197</v>
      </c>
    </row>
    <row r="898" spans="1:3" x14ac:dyDescent="0.25">
      <c r="A898" s="6">
        <v>44352</v>
      </c>
      <c r="B898" t="s">
        <v>27</v>
      </c>
      <c r="C898" s="2">
        <v>1068</v>
      </c>
    </row>
    <row r="899" spans="1:3" x14ac:dyDescent="0.25">
      <c r="A899" s="6">
        <v>44324</v>
      </c>
      <c r="B899" t="s">
        <v>27</v>
      </c>
      <c r="C899" s="2">
        <v>1049</v>
      </c>
    </row>
    <row r="900" spans="1:3" x14ac:dyDescent="0.25">
      <c r="A900" s="6">
        <v>44436</v>
      </c>
      <c r="B900" t="s">
        <v>27</v>
      </c>
      <c r="C900" s="2">
        <v>1089</v>
      </c>
    </row>
    <row r="901" spans="1:3" x14ac:dyDescent="0.25">
      <c r="A901" s="6">
        <v>44225</v>
      </c>
      <c r="B901" t="s">
        <v>25</v>
      </c>
      <c r="C901" s="2">
        <v>1179</v>
      </c>
    </row>
    <row r="902" spans="1:3" x14ac:dyDescent="0.25">
      <c r="A902" s="6">
        <v>44347</v>
      </c>
      <c r="B902" t="s">
        <v>28</v>
      </c>
      <c r="C902" s="2">
        <v>876</v>
      </c>
    </row>
    <row r="903" spans="1:3" x14ac:dyDescent="0.25">
      <c r="A903" s="6">
        <v>44504</v>
      </c>
      <c r="B903" t="s">
        <v>27</v>
      </c>
      <c r="C903" s="2">
        <v>948</v>
      </c>
    </row>
    <row r="904" spans="1:3" x14ac:dyDescent="0.25">
      <c r="A904" s="6">
        <v>44397</v>
      </c>
      <c r="B904" t="s">
        <v>27</v>
      </c>
      <c r="C904" s="2">
        <v>1028</v>
      </c>
    </row>
    <row r="905" spans="1:3" x14ac:dyDescent="0.25">
      <c r="A905" s="6">
        <v>44213</v>
      </c>
      <c r="B905" t="s">
        <v>28</v>
      </c>
      <c r="C905" s="2">
        <v>829</v>
      </c>
    </row>
    <row r="906" spans="1:3" x14ac:dyDescent="0.25">
      <c r="A906" s="6">
        <v>44232</v>
      </c>
      <c r="B906" t="s">
        <v>27</v>
      </c>
      <c r="C906" s="2">
        <v>1116</v>
      </c>
    </row>
    <row r="907" spans="1:3" x14ac:dyDescent="0.25">
      <c r="A907" s="6">
        <v>44411</v>
      </c>
      <c r="B907" t="s">
        <v>28</v>
      </c>
      <c r="C907" s="2">
        <v>1046</v>
      </c>
    </row>
    <row r="908" spans="1:3" x14ac:dyDescent="0.25">
      <c r="A908" s="6">
        <v>44258</v>
      </c>
      <c r="B908" t="s">
        <v>26</v>
      </c>
      <c r="C908" s="2">
        <v>1039</v>
      </c>
    </row>
    <row r="909" spans="1:3" x14ac:dyDescent="0.25">
      <c r="A909" s="6">
        <v>44308</v>
      </c>
      <c r="B909" t="s">
        <v>27</v>
      </c>
      <c r="C909" s="2">
        <v>1184</v>
      </c>
    </row>
    <row r="910" spans="1:3" x14ac:dyDescent="0.25">
      <c r="A910" s="6">
        <v>44214</v>
      </c>
      <c r="B910" t="s">
        <v>27</v>
      </c>
      <c r="C910" s="2">
        <v>1177</v>
      </c>
    </row>
    <row r="911" spans="1:3" x14ac:dyDescent="0.25">
      <c r="A911" s="6">
        <v>44381</v>
      </c>
      <c r="B911" t="s">
        <v>25</v>
      </c>
      <c r="C911" s="2">
        <v>910</v>
      </c>
    </row>
    <row r="912" spans="1:3" x14ac:dyDescent="0.25">
      <c r="A912" s="6">
        <v>44370</v>
      </c>
      <c r="B912" t="s">
        <v>28</v>
      </c>
      <c r="C912" s="2">
        <v>806</v>
      </c>
    </row>
    <row r="913" spans="1:3" x14ac:dyDescent="0.25">
      <c r="A913" s="6">
        <v>44229</v>
      </c>
      <c r="B913" t="s">
        <v>25</v>
      </c>
      <c r="C913" s="2">
        <v>937</v>
      </c>
    </row>
    <row r="914" spans="1:3" x14ac:dyDescent="0.25">
      <c r="A914" s="6">
        <v>44518</v>
      </c>
      <c r="B914" t="s">
        <v>26</v>
      </c>
      <c r="C914" s="2">
        <v>1050</v>
      </c>
    </row>
    <row r="915" spans="1:3" x14ac:dyDescent="0.25">
      <c r="A915" s="6">
        <v>44424</v>
      </c>
      <c r="B915" t="s">
        <v>28</v>
      </c>
      <c r="C915" s="2">
        <v>897</v>
      </c>
    </row>
    <row r="916" spans="1:3" x14ac:dyDescent="0.25">
      <c r="A916" s="6">
        <v>44215</v>
      </c>
      <c r="B916" t="s">
        <v>25</v>
      </c>
      <c r="C916" s="2">
        <v>1162</v>
      </c>
    </row>
    <row r="917" spans="1:3" x14ac:dyDescent="0.25">
      <c r="A917" s="6">
        <v>44490</v>
      </c>
      <c r="B917" t="s">
        <v>27</v>
      </c>
      <c r="C917" s="2">
        <v>956</v>
      </c>
    </row>
    <row r="918" spans="1:3" x14ac:dyDescent="0.25">
      <c r="A918" s="6">
        <v>44484</v>
      </c>
      <c r="B918" t="s">
        <v>28</v>
      </c>
      <c r="C918" s="2">
        <v>1112</v>
      </c>
    </row>
    <row r="919" spans="1:3" x14ac:dyDescent="0.25">
      <c r="A919" s="6">
        <v>44356</v>
      </c>
      <c r="B919" t="s">
        <v>27</v>
      </c>
      <c r="C919" s="2">
        <v>868</v>
      </c>
    </row>
    <row r="920" spans="1:3" x14ac:dyDescent="0.25">
      <c r="A920" s="6">
        <v>44283</v>
      </c>
      <c r="B920" t="s">
        <v>25</v>
      </c>
      <c r="C920" s="2">
        <v>891</v>
      </c>
    </row>
    <row r="921" spans="1:3" x14ac:dyDescent="0.25">
      <c r="A921" s="6">
        <v>44264</v>
      </c>
      <c r="B921" t="s">
        <v>27</v>
      </c>
      <c r="C921" s="2">
        <v>828</v>
      </c>
    </row>
    <row r="922" spans="1:3" x14ac:dyDescent="0.25">
      <c r="A922" s="6">
        <v>44552</v>
      </c>
      <c r="B922" t="s">
        <v>25</v>
      </c>
      <c r="C922" s="2">
        <v>1086</v>
      </c>
    </row>
    <row r="923" spans="1:3" x14ac:dyDescent="0.25">
      <c r="A923" s="6">
        <v>44331</v>
      </c>
      <c r="B923" t="s">
        <v>28</v>
      </c>
      <c r="C923" s="2">
        <v>1063</v>
      </c>
    </row>
    <row r="924" spans="1:3" x14ac:dyDescent="0.25">
      <c r="A924" s="6">
        <v>44422</v>
      </c>
      <c r="B924" t="s">
        <v>25</v>
      </c>
      <c r="C924" s="2">
        <v>1123</v>
      </c>
    </row>
    <row r="925" spans="1:3" x14ac:dyDescent="0.25">
      <c r="A925" s="6">
        <v>44293</v>
      </c>
      <c r="B925" t="s">
        <v>26</v>
      </c>
      <c r="C925" s="2">
        <v>888</v>
      </c>
    </row>
    <row r="926" spans="1:3" x14ac:dyDescent="0.25">
      <c r="A926" s="6">
        <v>44286</v>
      </c>
      <c r="B926" t="s">
        <v>26</v>
      </c>
      <c r="C926" s="2">
        <v>862</v>
      </c>
    </row>
    <row r="927" spans="1:3" x14ac:dyDescent="0.25">
      <c r="A927" s="6">
        <v>44479</v>
      </c>
      <c r="B927" t="s">
        <v>27</v>
      </c>
      <c r="C927" s="2">
        <v>1019</v>
      </c>
    </row>
    <row r="928" spans="1:3" x14ac:dyDescent="0.25">
      <c r="A928" s="6">
        <v>44414</v>
      </c>
      <c r="B928" t="s">
        <v>26</v>
      </c>
      <c r="C928" s="2">
        <v>850</v>
      </c>
    </row>
    <row r="929" spans="1:3" x14ac:dyDescent="0.25">
      <c r="A929" s="6">
        <v>44234</v>
      </c>
      <c r="B929" t="s">
        <v>27</v>
      </c>
      <c r="C929" s="2">
        <v>1122</v>
      </c>
    </row>
    <row r="930" spans="1:3" x14ac:dyDescent="0.25">
      <c r="A930" s="6">
        <v>44404</v>
      </c>
      <c r="B930" t="s">
        <v>26</v>
      </c>
      <c r="C930" s="2">
        <v>1014</v>
      </c>
    </row>
    <row r="931" spans="1:3" x14ac:dyDescent="0.25">
      <c r="A931" s="6">
        <v>44243</v>
      </c>
      <c r="B931" t="s">
        <v>25</v>
      </c>
      <c r="C931" s="2">
        <v>948</v>
      </c>
    </row>
    <row r="932" spans="1:3" x14ac:dyDescent="0.25">
      <c r="A932" s="6">
        <v>44536</v>
      </c>
      <c r="B932" t="s">
        <v>25</v>
      </c>
      <c r="C932" s="2">
        <v>820</v>
      </c>
    </row>
    <row r="933" spans="1:3" x14ac:dyDescent="0.25">
      <c r="A933" s="6">
        <v>44467</v>
      </c>
      <c r="B933" t="s">
        <v>25</v>
      </c>
      <c r="C933" s="2">
        <v>889</v>
      </c>
    </row>
    <row r="934" spans="1:3" x14ac:dyDescent="0.25">
      <c r="A934" s="6">
        <v>44531</v>
      </c>
      <c r="B934" t="s">
        <v>26</v>
      </c>
      <c r="C934" s="2">
        <v>815</v>
      </c>
    </row>
    <row r="935" spans="1:3" x14ac:dyDescent="0.25">
      <c r="A935" s="6">
        <v>44554</v>
      </c>
      <c r="B935" t="s">
        <v>28</v>
      </c>
      <c r="C935" s="2">
        <v>1083</v>
      </c>
    </row>
    <row r="936" spans="1:3" x14ac:dyDescent="0.25">
      <c r="A936" s="6">
        <v>44280</v>
      </c>
      <c r="B936" t="s">
        <v>26</v>
      </c>
      <c r="C936" s="2">
        <v>812</v>
      </c>
    </row>
    <row r="937" spans="1:3" x14ac:dyDescent="0.25">
      <c r="A937" s="6">
        <v>44481</v>
      </c>
      <c r="B937" t="s">
        <v>25</v>
      </c>
      <c r="C937" s="2">
        <v>950</v>
      </c>
    </row>
    <row r="938" spans="1:3" x14ac:dyDescent="0.25">
      <c r="A938" s="6">
        <v>44271</v>
      </c>
      <c r="B938" t="s">
        <v>28</v>
      </c>
      <c r="C938" s="2">
        <v>1062</v>
      </c>
    </row>
    <row r="939" spans="1:3" x14ac:dyDescent="0.25">
      <c r="A939" s="6">
        <v>44335</v>
      </c>
      <c r="B939" t="s">
        <v>28</v>
      </c>
      <c r="C939" s="2">
        <v>959</v>
      </c>
    </row>
    <row r="940" spans="1:3" x14ac:dyDescent="0.25">
      <c r="A940" s="6">
        <v>44340</v>
      </c>
      <c r="B940" t="s">
        <v>28</v>
      </c>
      <c r="C940" s="2">
        <v>930</v>
      </c>
    </row>
    <row r="941" spans="1:3" x14ac:dyDescent="0.25">
      <c r="A941" s="6">
        <v>44501</v>
      </c>
      <c r="B941" t="s">
        <v>28</v>
      </c>
      <c r="C941" s="2">
        <v>865</v>
      </c>
    </row>
    <row r="942" spans="1:3" x14ac:dyDescent="0.25">
      <c r="A942" s="6">
        <v>44381</v>
      </c>
      <c r="B942" t="s">
        <v>25</v>
      </c>
      <c r="C942" s="2">
        <v>957</v>
      </c>
    </row>
    <row r="943" spans="1:3" x14ac:dyDescent="0.25">
      <c r="A943" s="6">
        <v>44481</v>
      </c>
      <c r="B943" t="s">
        <v>27</v>
      </c>
      <c r="C943" s="2">
        <v>847</v>
      </c>
    </row>
    <row r="944" spans="1:3" x14ac:dyDescent="0.25">
      <c r="A944" s="6">
        <v>44468</v>
      </c>
      <c r="B944" t="s">
        <v>26</v>
      </c>
      <c r="C944" s="2">
        <v>818</v>
      </c>
    </row>
    <row r="945" spans="1:3" x14ac:dyDescent="0.25">
      <c r="A945" s="6">
        <v>44316</v>
      </c>
      <c r="B945" t="s">
        <v>28</v>
      </c>
      <c r="C945" s="2">
        <v>1124</v>
      </c>
    </row>
    <row r="946" spans="1:3" x14ac:dyDescent="0.25">
      <c r="A946" s="6">
        <v>44297</v>
      </c>
      <c r="B946" t="s">
        <v>28</v>
      </c>
      <c r="C946" s="2">
        <v>1093</v>
      </c>
    </row>
    <row r="947" spans="1:3" x14ac:dyDescent="0.25">
      <c r="A947" s="6">
        <v>44202</v>
      </c>
      <c r="B947" t="s">
        <v>25</v>
      </c>
      <c r="C947" s="2">
        <v>984</v>
      </c>
    </row>
    <row r="948" spans="1:3" x14ac:dyDescent="0.25">
      <c r="A948" s="6">
        <v>44555</v>
      </c>
      <c r="B948" t="s">
        <v>27</v>
      </c>
      <c r="C948" s="2">
        <v>914</v>
      </c>
    </row>
    <row r="949" spans="1:3" x14ac:dyDescent="0.25">
      <c r="A949" s="6">
        <v>44540</v>
      </c>
      <c r="B949" t="s">
        <v>25</v>
      </c>
      <c r="C949" s="2">
        <v>975</v>
      </c>
    </row>
    <row r="950" spans="1:3" x14ac:dyDescent="0.25">
      <c r="A950" s="6">
        <v>44336</v>
      </c>
      <c r="B950" t="s">
        <v>25</v>
      </c>
      <c r="C950" s="2">
        <v>806</v>
      </c>
    </row>
    <row r="951" spans="1:3" x14ac:dyDescent="0.25">
      <c r="A951" s="6">
        <v>44509</v>
      </c>
      <c r="B951" t="s">
        <v>28</v>
      </c>
      <c r="C951" s="2">
        <v>1030</v>
      </c>
    </row>
    <row r="952" spans="1:3" x14ac:dyDescent="0.25">
      <c r="A952" s="6">
        <v>44382</v>
      </c>
      <c r="B952" t="s">
        <v>26</v>
      </c>
      <c r="C952" s="2">
        <v>1043</v>
      </c>
    </row>
    <row r="953" spans="1:3" x14ac:dyDescent="0.25">
      <c r="A953" s="6">
        <v>44407</v>
      </c>
      <c r="B953" t="s">
        <v>25</v>
      </c>
      <c r="C953" s="2">
        <v>996</v>
      </c>
    </row>
    <row r="954" spans="1:3" x14ac:dyDescent="0.25">
      <c r="A954" s="6">
        <v>44519</v>
      </c>
      <c r="B954" t="s">
        <v>25</v>
      </c>
      <c r="C954" s="2">
        <v>807</v>
      </c>
    </row>
    <row r="955" spans="1:3" x14ac:dyDescent="0.25">
      <c r="A955" s="6">
        <v>44330</v>
      </c>
      <c r="B955" t="s">
        <v>25</v>
      </c>
      <c r="C955" s="2">
        <v>818</v>
      </c>
    </row>
    <row r="956" spans="1:3" x14ac:dyDescent="0.25">
      <c r="A956" s="6">
        <v>44462</v>
      </c>
      <c r="B956" t="s">
        <v>28</v>
      </c>
      <c r="C956" s="2">
        <v>1178</v>
      </c>
    </row>
    <row r="957" spans="1:3" x14ac:dyDescent="0.25">
      <c r="A957" s="6">
        <v>44351</v>
      </c>
      <c r="B957" t="s">
        <v>25</v>
      </c>
      <c r="C957" s="2">
        <v>842</v>
      </c>
    </row>
    <row r="958" spans="1:3" x14ac:dyDescent="0.25">
      <c r="A958" s="6">
        <v>44236</v>
      </c>
      <c r="B958" t="s">
        <v>28</v>
      </c>
      <c r="C958" s="2">
        <v>807</v>
      </c>
    </row>
    <row r="959" spans="1:3" x14ac:dyDescent="0.25">
      <c r="A959" s="6">
        <v>44350</v>
      </c>
      <c r="B959" t="s">
        <v>27</v>
      </c>
      <c r="C959" s="2">
        <v>959</v>
      </c>
    </row>
    <row r="960" spans="1:3" x14ac:dyDescent="0.25">
      <c r="A960" s="6">
        <v>44351</v>
      </c>
      <c r="B960" t="s">
        <v>26</v>
      </c>
      <c r="C960" s="2">
        <v>865</v>
      </c>
    </row>
    <row r="961" spans="1:3" x14ac:dyDescent="0.25">
      <c r="A961" s="6">
        <v>44522</v>
      </c>
      <c r="B961" t="s">
        <v>26</v>
      </c>
      <c r="C961" s="2">
        <v>1166</v>
      </c>
    </row>
    <row r="962" spans="1:3" x14ac:dyDescent="0.25">
      <c r="A962" s="6">
        <v>44368</v>
      </c>
      <c r="B962" t="s">
        <v>25</v>
      </c>
      <c r="C962" s="2">
        <v>1123</v>
      </c>
    </row>
    <row r="963" spans="1:3" x14ac:dyDescent="0.25">
      <c r="A963" s="6">
        <v>44555</v>
      </c>
      <c r="B963" t="s">
        <v>26</v>
      </c>
      <c r="C963" s="2">
        <v>1130</v>
      </c>
    </row>
    <row r="964" spans="1:3" x14ac:dyDescent="0.25">
      <c r="A964" s="6">
        <v>44218</v>
      </c>
      <c r="B964" t="s">
        <v>28</v>
      </c>
      <c r="C964" s="2">
        <v>830</v>
      </c>
    </row>
    <row r="965" spans="1:3" x14ac:dyDescent="0.25">
      <c r="A965" s="6">
        <v>44269</v>
      </c>
      <c r="B965" t="s">
        <v>27</v>
      </c>
      <c r="C965" s="2">
        <v>1095</v>
      </c>
    </row>
    <row r="966" spans="1:3" x14ac:dyDescent="0.25">
      <c r="A966" s="6">
        <v>44399</v>
      </c>
      <c r="B966" t="s">
        <v>27</v>
      </c>
      <c r="C966" s="2">
        <v>846</v>
      </c>
    </row>
    <row r="967" spans="1:3" x14ac:dyDescent="0.25">
      <c r="A967" s="6">
        <v>44474</v>
      </c>
      <c r="B967" t="s">
        <v>28</v>
      </c>
      <c r="C967" s="2">
        <v>913</v>
      </c>
    </row>
    <row r="968" spans="1:3" x14ac:dyDescent="0.25">
      <c r="A968" s="6">
        <v>44338</v>
      </c>
      <c r="B968" t="s">
        <v>25</v>
      </c>
      <c r="C968" s="2">
        <v>1096</v>
      </c>
    </row>
    <row r="969" spans="1:3" x14ac:dyDescent="0.25">
      <c r="A969" s="6">
        <v>44503</v>
      </c>
      <c r="B969" t="s">
        <v>26</v>
      </c>
      <c r="C969" s="2">
        <v>1024</v>
      </c>
    </row>
    <row r="970" spans="1:3" x14ac:dyDescent="0.25">
      <c r="A970" s="6">
        <v>44538</v>
      </c>
      <c r="B970" t="s">
        <v>25</v>
      </c>
      <c r="C970" s="2">
        <v>985</v>
      </c>
    </row>
    <row r="971" spans="1:3" x14ac:dyDescent="0.25">
      <c r="A971" s="6">
        <v>44373</v>
      </c>
      <c r="B971" t="s">
        <v>25</v>
      </c>
      <c r="C971" s="2">
        <v>1043</v>
      </c>
    </row>
    <row r="972" spans="1:3" x14ac:dyDescent="0.25">
      <c r="A972" s="6">
        <v>44238</v>
      </c>
      <c r="B972" t="s">
        <v>26</v>
      </c>
      <c r="C972" s="2">
        <v>846</v>
      </c>
    </row>
    <row r="973" spans="1:3" x14ac:dyDescent="0.25">
      <c r="A973" s="6">
        <v>44337</v>
      </c>
      <c r="B973" t="s">
        <v>25</v>
      </c>
      <c r="C973" s="2">
        <v>925</v>
      </c>
    </row>
    <row r="974" spans="1:3" x14ac:dyDescent="0.25">
      <c r="A974" s="6">
        <v>44558</v>
      </c>
      <c r="B974" t="s">
        <v>28</v>
      </c>
      <c r="C974" s="2">
        <v>1158</v>
      </c>
    </row>
    <row r="975" spans="1:3" x14ac:dyDescent="0.25">
      <c r="A975" s="6">
        <v>44258</v>
      </c>
      <c r="B975" t="s">
        <v>28</v>
      </c>
      <c r="C975" s="2">
        <v>959</v>
      </c>
    </row>
    <row r="976" spans="1:3" x14ac:dyDescent="0.25">
      <c r="A976" s="6">
        <v>44530</v>
      </c>
      <c r="B976" t="s">
        <v>28</v>
      </c>
      <c r="C976" s="2">
        <v>1132</v>
      </c>
    </row>
    <row r="977" spans="1:3" x14ac:dyDescent="0.25">
      <c r="A977" s="6">
        <v>44351</v>
      </c>
      <c r="B977" t="s">
        <v>25</v>
      </c>
      <c r="C977" s="2">
        <v>1128</v>
      </c>
    </row>
    <row r="978" spans="1:3" x14ac:dyDescent="0.25">
      <c r="A978" s="6">
        <v>44506</v>
      </c>
      <c r="B978" t="s">
        <v>28</v>
      </c>
      <c r="C978" s="2">
        <v>1054</v>
      </c>
    </row>
    <row r="979" spans="1:3" x14ac:dyDescent="0.25">
      <c r="A979" s="6">
        <v>44290</v>
      </c>
      <c r="B979" t="s">
        <v>25</v>
      </c>
      <c r="C979" s="2">
        <v>1169</v>
      </c>
    </row>
    <row r="980" spans="1:3" x14ac:dyDescent="0.25">
      <c r="A980" s="6">
        <v>44401</v>
      </c>
      <c r="B980" t="s">
        <v>27</v>
      </c>
      <c r="C980" s="2">
        <v>1122</v>
      </c>
    </row>
    <row r="981" spans="1:3" x14ac:dyDescent="0.25">
      <c r="A981" s="6">
        <v>44548</v>
      </c>
      <c r="B981" t="s">
        <v>25</v>
      </c>
      <c r="C981" s="2">
        <v>841</v>
      </c>
    </row>
    <row r="982" spans="1:3" x14ac:dyDescent="0.25">
      <c r="A982" s="6">
        <v>44522</v>
      </c>
      <c r="B982" t="s">
        <v>25</v>
      </c>
      <c r="C982" s="2">
        <v>1199</v>
      </c>
    </row>
    <row r="983" spans="1:3" x14ac:dyDescent="0.25">
      <c r="A983" s="6">
        <v>44456</v>
      </c>
      <c r="B983" t="s">
        <v>27</v>
      </c>
      <c r="C983" s="2">
        <v>932</v>
      </c>
    </row>
    <row r="984" spans="1:3" x14ac:dyDescent="0.25">
      <c r="A984" s="6">
        <v>44510</v>
      </c>
      <c r="B984" t="s">
        <v>26</v>
      </c>
      <c r="C984" s="2">
        <v>810</v>
      </c>
    </row>
    <row r="985" spans="1:3" x14ac:dyDescent="0.25">
      <c r="A985" s="6">
        <v>44214</v>
      </c>
      <c r="B985" t="s">
        <v>27</v>
      </c>
      <c r="C985" s="2">
        <v>848</v>
      </c>
    </row>
    <row r="986" spans="1:3" x14ac:dyDescent="0.25">
      <c r="A986" s="6">
        <v>44420</v>
      </c>
      <c r="B986" t="s">
        <v>25</v>
      </c>
      <c r="C986" s="2">
        <v>1013</v>
      </c>
    </row>
    <row r="987" spans="1:3" x14ac:dyDescent="0.25">
      <c r="A987" s="6">
        <v>44376</v>
      </c>
      <c r="B987" t="s">
        <v>28</v>
      </c>
      <c r="C987" s="2">
        <v>1147</v>
      </c>
    </row>
    <row r="988" spans="1:3" x14ac:dyDescent="0.25">
      <c r="A988" s="6">
        <v>44469</v>
      </c>
      <c r="B988" t="s">
        <v>26</v>
      </c>
      <c r="C988" s="2">
        <v>1094</v>
      </c>
    </row>
    <row r="989" spans="1:3" x14ac:dyDescent="0.25">
      <c r="A989" s="6">
        <v>44207</v>
      </c>
      <c r="B989" t="s">
        <v>27</v>
      </c>
      <c r="C989" s="2">
        <v>836</v>
      </c>
    </row>
    <row r="990" spans="1:3" x14ac:dyDescent="0.25">
      <c r="A990" s="6">
        <v>44261</v>
      </c>
      <c r="B990" t="s">
        <v>27</v>
      </c>
      <c r="C990" s="2">
        <v>1117</v>
      </c>
    </row>
    <row r="991" spans="1:3" x14ac:dyDescent="0.25">
      <c r="A991" s="6">
        <v>44537</v>
      </c>
      <c r="B991" t="s">
        <v>28</v>
      </c>
      <c r="C991" s="2">
        <v>825</v>
      </c>
    </row>
    <row r="992" spans="1:3" x14ac:dyDescent="0.25">
      <c r="A992" s="6">
        <v>44533</v>
      </c>
      <c r="B992" t="s">
        <v>25</v>
      </c>
      <c r="C992" s="2">
        <v>1173</v>
      </c>
    </row>
    <row r="993" spans="1:3" x14ac:dyDescent="0.25">
      <c r="A993" s="6">
        <v>44409</v>
      </c>
      <c r="B993" t="s">
        <v>27</v>
      </c>
      <c r="C993" s="2">
        <v>963</v>
      </c>
    </row>
    <row r="994" spans="1:3" x14ac:dyDescent="0.25">
      <c r="A994" s="6">
        <v>44501</v>
      </c>
      <c r="B994" t="s">
        <v>25</v>
      </c>
      <c r="C994" s="2">
        <v>1012</v>
      </c>
    </row>
    <row r="995" spans="1:3" x14ac:dyDescent="0.25">
      <c r="A995" s="6">
        <v>44228</v>
      </c>
      <c r="B995" t="s">
        <v>26</v>
      </c>
      <c r="C995" s="2">
        <v>831</v>
      </c>
    </row>
    <row r="996" spans="1:3" x14ac:dyDescent="0.25">
      <c r="A996" s="6">
        <v>44233</v>
      </c>
      <c r="B996" t="s">
        <v>25</v>
      </c>
      <c r="C996" s="2">
        <v>912</v>
      </c>
    </row>
    <row r="997" spans="1:3" x14ac:dyDescent="0.25">
      <c r="A997" s="6">
        <v>44299</v>
      </c>
      <c r="B997" t="s">
        <v>28</v>
      </c>
      <c r="C997" s="2">
        <v>1024</v>
      </c>
    </row>
    <row r="998" spans="1:3" x14ac:dyDescent="0.25">
      <c r="A998" s="6">
        <v>44424</v>
      </c>
      <c r="B998" t="s">
        <v>26</v>
      </c>
      <c r="C998" s="2">
        <v>1179</v>
      </c>
    </row>
    <row r="999" spans="1:3" x14ac:dyDescent="0.25">
      <c r="A999" s="6">
        <v>44490</v>
      </c>
      <c r="B999" t="s">
        <v>27</v>
      </c>
      <c r="C999" s="2">
        <v>1173</v>
      </c>
    </row>
    <row r="1000" spans="1:3" x14ac:dyDescent="0.25">
      <c r="A1000" s="6">
        <v>44482</v>
      </c>
      <c r="B1000" t="s">
        <v>25</v>
      </c>
      <c r="C1000" s="2">
        <v>1142</v>
      </c>
    </row>
    <row r="1001" spans="1:3" x14ac:dyDescent="0.25">
      <c r="A1001" s="6">
        <v>44486</v>
      </c>
      <c r="B1001" t="s">
        <v>28</v>
      </c>
      <c r="C1001" s="2">
        <v>822</v>
      </c>
    </row>
    <row r="1002" spans="1:3" x14ac:dyDescent="0.25">
      <c r="A1002" s="6">
        <v>44548</v>
      </c>
      <c r="B1002" t="s">
        <v>25</v>
      </c>
      <c r="C1002" s="2">
        <v>1070</v>
      </c>
    </row>
    <row r="1003" spans="1:3" x14ac:dyDescent="0.25">
      <c r="A1003" s="6">
        <v>44278</v>
      </c>
      <c r="B1003" t="s">
        <v>28</v>
      </c>
      <c r="C1003" s="2">
        <v>912</v>
      </c>
    </row>
    <row r="1004" spans="1:3" x14ac:dyDescent="0.25">
      <c r="A1004" s="6">
        <v>44296</v>
      </c>
      <c r="B1004" t="s">
        <v>26</v>
      </c>
      <c r="C1004" s="2">
        <v>885</v>
      </c>
    </row>
    <row r="1005" spans="1:3" x14ac:dyDescent="0.25">
      <c r="A1005" s="6">
        <v>44257</v>
      </c>
      <c r="B1005" t="s">
        <v>26</v>
      </c>
      <c r="C1005" s="2">
        <v>1076</v>
      </c>
    </row>
    <row r="1006" spans="1:3" x14ac:dyDescent="0.25">
      <c r="A1006" s="6">
        <v>44198</v>
      </c>
      <c r="B1006" t="s">
        <v>28</v>
      </c>
      <c r="C1006" s="2">
        <v>1127</v>
      </c>
    </row>
    <row r="1007" spans="1:3" x14ac:dyDescent="0.25">
      <c r="A1007" s="6">
        <v>44242</v>
      </c>
      <c r="B1007" t="s">
        <v>26</v>
      </c>
      <c r="C1007" s="2">
        <v>1051</v>
      </c>
    </row>
    <row r="1008" spans="1:3" x14ac:dyDescent="0.25">
      <c r="A1008" s="6">
        <v>44495</v>
      </c>
      <c r="B1008" t="s">
        <v>28</v>
      </c>
      <c r="C1008" s="2">
        <v>1123</v>
      </c>
    </row>
    <row r="1009" spans="1:3" x14ac:dyDescent="0.25">
      <c r="A1009" s="6">
        <v>44501</v>
      </c>
      <c r="B1009" t="s">
        <v>26</v>
      </c>
      <c r="C1009" s="2">
        <v>995</v>
      </c>
    </row>
    <row r="1010" spans="1:3" x14ac:dyDescent="0.25">
      <c r="A1010" s="6">
        <v>44238</v>
      </c>
      <c r="B1010" t="s">
        <v>27</v>
      </c>
      <c r="C1010" s="2">
        <v>1142</v>
      </c>
    </row>
    <row r="1011" spans="1:3" x14ac:dyDescent="0.25">
      <c r="A1011" s="6">
        <v>44272</v>
      </c>
      <c r="B1011" t="s">
        <v>28</v>
      </c>
      <c r="C1011" s="2">
        <v>1200</v>
      </c>
    </row>
    <row r="1012" spans="1:3" x14ac:dyDescent="0.25">
      <c r="A1012" s="6">
        <v>44426</v>
      </c>
      <c r="B1012" t="s">
        <v>26</v>
      </c>
      <c r="C1012" s="2">
        <v>1181</v>
      </c>
    </row>
    <row r="1013" spans="1:3" x14ac:dyDescent="0.25">
      <c r="A1013" s="6">
        <v>44429</v>
      </c>
      <c r="B1013" t="s">
        <v>26</v>
      </c>
      <c r="C1013" s="2">
        <v>1168</v>
      </c>
    </row>
    <row r="1014" spans="1:3" x14ac:dyDescent="0.25">
      <c r="A1014" s="6">
        <v>44557</v>
      </c>
      <c r="B1014" t="s">
        <v>25</v>
      </c>
      <c r="C1014" s="2">
        <v>1052</v>
      </c>
    </row>
    <row r="1015" spans="1:3" x14ac:dyDescent="0.25">
      <c r="A1015" s="6">
        <v>44234</v>
      </c>
      <c r="B1015" t="s">
        <v>28</v>
      </c>
      <c r="C1015" s="2">
        <v>869</v>
      </c>
    </row>
    <row r="1016" spans="1:3" x14ac:dyDescent="0.25">
      <c r="A1016" s="6">
        <v>44358</v>
      </c>
      <c r="B1016" t="s">
        <v>25</v>
      </c>
      <c r="C1016" s="2">
        <v>904</v>
      </c>
    </row>
    <row r="1017" spans="1:3" x14ac:dyDescent="0.25">
      <c r="A1017" s="6">
        <v>44449</v>
      </c>
      <c r="B1017" t="s">
        <v>26</v>
      </c>
      <c r="C1017" s="2">
        <v>1069</v>
      </c>
    </row>
    <row r="1018" spans="1:3" x14ac:dyDescent="0.25">
      <c r="A1018" s="6">
        <v>44304</v>
      </c>
      <c r="B1018" t="s">
        <v>28</v>
      </c>
      <c r="C1018" s="2">
        <v>1099</v>
      </c>
    </row>
    <row r="1019" spans="1:3" x14ac:dyDescent="0.25">
      <c r="A1019" s="6">
        <v>44463</v>
      </c>
      <c r="B1019" t="s">
        <v>27</v>
      </c>
      <c r="C1019" s="2">
        <v>827</v>
      </c>
    </row>
    <row r="1020" spans="1:3" x14ac:dyDescent="0.25">
      <c r="A1020" s="6">
        <v>44493</v>
      </c>
      <c r="B1020" t="s">
        <v>28</v>
      </c>
      <c r="C1020" s="2">
        <v>829</v>
      </c>
    </row>
    <row r="1021" spans="1:3" x14ac:dyDescent="0.25">
      <c r="A1021" s="6">
        <v>44477</v>
      </c>
      <c r="B1021" t="s">
        <v>25</v>
      </c>
      <c r="C1021" s="2">
        <v>850</v>
      </c>
    </row>
    <row r="1022" spans="1:3" x14ac:dyDescent="0.25">
      <c r="A1022" s="6">
        <v>44528</v>
      </c>
      <c r="B1022" t="s">
        <v>28</v>
      </c>
      <c r="C1022" s="2">
        <v>940</v>
      </c>
    </row>
    <row r="1023" spans="1:3" x14ac:dyDescent="0.25">
      <c r="A1023" s="6">
        <v>44231</v>
      </c>
      <c r="B1023" t="s">
        <v>26</v>
      </c>
      <c r="C1023" s="2">
        <v>1122</v>
      </c>
    </row>
    <row r="1024" spans="1:3" x14ac:dyDescent="0.25">
      <c r="A1024" s="6">
        <v>44487</v>
      </c>
      <c r="B1024" t="s">
        <v>28</v>
      </c>
      <c r="C1024" s="2">
        <v>1098</v>
      </c>
    </row>
    <row r="1025" spans="1:3" x14ac:dyDescent="0.25">
      <c r="A1025" s="6">
        <v>44249</v>
      </c>
      <c r="B1025" t="s">
        <v>28</v>
      </c>
      <c r="C1025" s="2">
        <v>988</v>
      </c>
    </row>
    <row r="1026" spans="1:3" x14ac:dyDescent="0.25">
      <c r="A1026" s="6">
        <v>44447</v>
      </c>
      <c r="B1026" t="s">
        <v>28</v>
      </c>
      <c r="C1026" s="2">
        <v>937</v>
      </c>
    </row>
    <row r="1027" spans="1:3" x14ac:dyDescent="0.25">
      <c r="A1027" s="6">
        <v>44436</v>
      </c>
      <c r="B1027" t="s">
        <v>28</v>
      </c>
      <c r="C1027" s="2">
        <v>869</v>
      </c>
    </row>
    <row r="1028" spans="1:3" x14ac:dyDescent="0.25">
      <c r="A1028" s="6">
        <v>44513</v>
      </c>
      <c r="B1028" t="s">
        <v>26</v>
      </c>
      <c r="C1028" s="2">
        <v>1086</v>
      </c>
    </row>
    <row r="1029" spans="1:3" x14ac:dyDescent="0.25">
      <c r="A1029" s="6">
        <v>44313</v>
      </c>
      <c r="B1029" t="s">
        <v>26</v>
      </c>
      <c r="C1029" s="2">
        <v>894</v>
      </c>
    </row>
    <row r="1030" spans="1:3" x14ac:dyDescent="0.25">
      <c r="A1030" s="6">
        <v>44438</v>
      </c>
      <c r="B1030" t="s">
        <v>27</v>
      </c>
      <c r="C1030" s="2">
        <v>1142</v>
      </c>
    </row>
    <row r="1031" spans="1:3" x14ac:dyDescent="0.25">
      <c r="A1031" s="6">
        <v>44292</v>
      </c>
      <c r="B1031" t="s">
        <v>26</v>
      </c>
      <c r="C1031" s="2">
        <v>1111</v>
      </c>
    </row>
    <row r="1032" spans="1:3" x14ac:dyDescent="0.25">
      <c r="A1032" s="6">
        <v>44394</v>
      </c>
      <c r="B1032" t="s">
        <v>25</v>
      </c>
      <c r="C1032" s="2">
        <v>886</v>
      </c>
    </row>
    <row r="1033" spans="1:3" x14ac:dyDescent="0.25">
      <c r="A1033" s="6">
        <v>44393</v>
      </c>
      <c r="B1033" t="s">
        <v>27</v>
      </c>
      <c r="C1033" s="2">
        <v>1193</v>
      </c>
    </row>
    <row r="1034" spans="1:3" x14ac:dyDescent="0.25">
      <c r="A1034" s="6">
        <v>44302</v>
      </c>
      <c r="B1034" t="s">
        <v>26</v>
      </c>
      <c r="C1034" s="2">
        <v>833</v>
      </c>
    </row>
    <row r="1035" spans="1:3" x14ac:dyDescent="0.25">
      <c r="A1035" s="6">
        <v>44349</v>
      </c>
      <c r="B1035" t="s">
        <v>27</v>
      </c>
      <c r="C1035" s="2">
        <v>928</v>
      </c>
    </row>
    <row r="1036" spans="1:3" x14ac:dyDescent="0.25">
      <c r="A1036" s="6">
        <v>44355</v>
      </c>
      <c r="B1036" t="s">
        <v>26</v>
      </c>
      <c r="C1036" s="2">
        <v>915</v>
      </c>
    </row>
    <row r="1037" spans="1:3" x14ac:dyDescent="0.25">
      <c r="A1037" s="6">
        <v>44386</v>
      </c>
      <c r="B1037" t="s">
        <v>26</v>
      </c>
      <c r="C1037" s="2">
        <v>1197</v>
      </c>
    </row>
    <row r="1038" spans="1:3" x14ac:dyDescent="0.25">
      <c r="A1038" s="6">
        <v>44442</v>
      </c>
      <c r="B1038" t="s">
        <v>26</v>
      </c>
      <c r="C1038" s="2">
        <v>1091</v>
      </c>
    </row>
    <row r="1039" spans="1:3" x14ac:dyDescent="0.25">
      <c r="A1039" s="6">
        <v>44349</v>
      </c>
      <c r="B1039" t="s">
        <v>26</v>
      </c>
      <c r="C1039" s="2">
        <v>1057</v>
      </c>
    </row>
    <row r="1040" spans="1:3" x14ac:dyDescent="0.25">
      <c r="A1040" s="6">
        <v>44406</v>
      </c>
      <c r="B1040" t="s">
        <v>26</v>
      </c>
      <c r="C1040" s="2">
        <v>1152</v>
      </c>
    </row>
    <row r="1041" spans="1:3" x14ac:dyDescent="0.25">
      <c r="A1041" s="6">
        <v>44461</v>
      </c>
      <c r="B1041" t="s">
        <v>26</v>
      </c>
      <c r="C1041" s="2">
        <v>1039</v>
      </c>
    </row>
    <row r="1042" spans="1:3" x14ac:dyDescent="0.25">
      <c r="A1042" s="6">
        <v>44428</v>
      </c>
      <c r="B1042" t="s">
        <v>27</v>
      </c>
      <c r="C1042" s="2">
        <v>845</v>
      </c>
    </row>
    <row r="1043" spans="1:3" x14ac:dyDescent="0.25">
      <c r="A1043" s="6">
        <v>44368</v>
      </c>
      <c r="B1043" t="s">
        <v>28</v>
      </c>
      <c r="C1043" s="2">
        <v>831</v>
      </c>
    </row>
    <row r="1044" spans="1:3" x14ac:dyDescent="0.25">
      <c r="A1044" s="6">
        <v>44316</v>
      </c>
      <c r="B1044" t="s">
        <v>25</v>
      </c>
      <c r="C1044" s="2">
        <v>892</v>
      </c>
    </row>
    <row r="1045" spans="1:3" x14ac:dyDescent="0.25">
      <c r="A1045" s="6">
        <v>44338</v>
      </c>
      <c r="B1045" t="s">
        <v>27</v>
      </c>
      <c r="C1045" s="2">
        <v>841</v>
      </c>
    </row>
    <row r="1046" spans="1:3" x14ac:dyDescent="0.25">
      <c r="A1046" s="6">
        <v>44357</v>
      </c>
      <c r="B1046" t="s">
        <v>28</v>
      </c>
      <c r="C1046" s="2">
        <v>1088</v>
      </c>
    </row>
    <row r="1047" spans="1:3" x14ac:dyDescent="0.25">
      <c r="A1047" s="6">
        <v>44253</v>
      </c>
      <c r="B1047" t="s">
        <v>25</v>
      </c>
      <c r="C1047" s="2">
        <v>1087</v>
      </c>
    </row>
    <row r="1048" spans="1:3" x14ac:dyDescent="0.25">
      <c r="A1048" s="6">
        <v>44458</v>
      </c>
      <c r="B1048" t="s">
        <v>28</v>
      </c>
      <c r="C1048" s="2">
        <v>1105</v>
      </c>
    </row>
    <row r="1049" spans="1:3" x14ac:dyDescent="0.25">
      <c r="A1049" s="6">
        <v>44269</v>
      </c>
      <c r="B1049" t="s">
        <v>27</v>
      </c>
      <c r="C1049" s="2">
        <v>910</v>
      </c>
    </row>
    <row r="1050" spans="1:3" x14ac:dyDescent="0.25">
      <c r="A1050" s="6">
        <v>44499</v>
      </c>
      <c r="B1050" t="s">
        <v>27</v>
      </c>
      <c r="C1050" s="2">
        <v>1012</v>
      </c>
    </row>
    <row r="1051" spans="1:3" x14ac:dyDescent="0.25">
      <c r="A1051" s="6">
        <v>44236</v>
      </c>
      <c r="B1051" t="s">
        <v>28</v>
      </c>
      <c r="C1051" s="2">
        <v>877</v>
      </c>
    </row>
    <row r="1052" spans="1:3" x14ac:dyDescent="0.25">
      <c r="A1052" s="6">
        <v>44211</v>
      </c>
      <c r="B1052" t="s">
        <v>28</v>
      </c>
      <c r="C1052" s="2">
        <v>945</v>
      </c>
    </row>
    <row r="1053" spans="1:3" x14ac:dyDescent="0.25">
      <c r="A1053" s="6">
        <v>44296</v>
      </c>
      <c r="B1053" t="s">
        <v>25</v>
      </c>
      <c r="C1053" s="2">
        <v>1151</v>
      </c>
    </row>
    <row r="1054" spans="1:3" x14ac:dyDescent="0.25">
      <c r="A1054" s="6">
        <v>44488</v>
      </c>
      <c r="B1054" t="s">
        <v>27</v>
      </c>
      <c r="C1054" s="2">
        <v>1150</v>
      </c>
    </row>
    <row r="1055" spans="1:3" x14ac:dyDescent="0.25">
      <c r="A1055" s="6">
        <v>44363</v>
      </c>
      <c r="B1055" t="s">
        <v>27</v>
      </c>
      <c r="C1055" s="2">
        <v>891</v>
      </c>
    </row>
    <row r="1056" spans="1:3" x14ac:dyDescent="0.25">
      <c r="A1056" s="6">
        <v>44316</v>
      </c>
      <c r="B1056" t="s">
        <v>28</v>
      </c>
      <c r="C1056" s="2">
        <v>949</v>
      </c>
    </row>
    <row r="1057" spans="1:3" x14ac:dyDescent="0.25">
      <c r="A1057" s="6">
        <v>44284</v>
      </c>
      <c r="B1057" t="s">
        <v>26</v>
      </c>
      <c r="C1057" s="2">
        <v>849</v>
      </c>
    </row>
    <row r="1058" spans="1:3" x14ac:dyDescent="0.25">
      <c r="A1058" s="6">
        <v>44530</v>
      </c>
      <c r="B1058" t="s">
        <v>27</v>
      </c>
      <c r="C1058" s="2">
        <v>856</v>
      </c>
    </row>
    <row r="1059" spans="1:3" x14ac:dyDescent="0.25">
      <c r="A1059" s="6">
        <v>44297</v>
      </c>
      <c r="B1059" t="s">
        <v>26</v>
      </c>
      <c r="C1059" s="2">
        <v>802</v>
      </c>
    </row>
    <row r="1060" spans="1:3" x14ac:dyDescent="0.25">
      <c r="A1060" s="6">
        <v>44252</v>
      </c>
      <c r="B1060" t="s">
        <v>28</v>
      </c>
      <c r="C1060" s="2">
        <v>1145</v>
      </c>
    </row>
    <row r="1061" spans="1:3" x14ac:dyDescent="0.25">
      <c r="A1061" s="6">
        <v>44514</v>
      </c>
      <c r="B1061" t="s">
        <v>25</v>
      </c>
      <c r="C1061" s="2">
        <v>1089</v>
      </c>
    </row>
    <row r="1062" spans="1:3" x14ac:dyDescent="0.25">
      <c r="A1062" s="6">
        <v>44291</v>
      </c>
      <c r="B1062" t="s">
        <v>25</v>
      </c>
      <c r="C1062" s="2">
        <v>1166</v>
      </c>
    </row>
    <row r="1063" spans="1:3" x14ac:dyDescent="0.25">
      <c r="A1063" s="6">
        <v>44275</v>
      </c>
      <c r="B1063" t="s">
        <v>27</v>
      </c>
      <c r="C1063" s="2">
        <v>1069</v>
      </c>
    </row>
    <row r="1064" spans="1:3" x14ac:dyDescent="0.25">
      <c r="A1064" s="6">
        <v>44290</v>
      </c>
      <c r="B1064" t="s">
        <v>26</v>
      </c>
      <c r="C1064" s="2">
        <v>957</v>
      </c>
    </row>
    <row r="1065" spans="1:3" x14ac:dyDescent="0.25">
      <c r="A1065" s="6">
        <v>44238</v>
      </c>
      <c r="B1065" t="s">
        <v>25</v>
      </c>
      <c r="C1065" s="2">
        <v>1197</v>
      </c>
    </row>
    <row r="1066" spans="1:3" x14ac:dyDescent="0.25">
      <c r="A1066" s="6">
        <v>44541</v>
      </c>
      <c r="B1066" t="s">
        <v>26</v>
      </c>
      <c r="C1066" s="2">
        <v>826</v>
      </c>
    </row>
    <row r="1067" spans="1:3" x14ac:dyDescent="0.25">
      <c r="A1067" s="6">
        <v>44505</v>
      </c>
      <c r="B1067" t="s">
        <v>27</v>
      </c>
      <c r="C1067" s="2">
        <v>878</v>
      </c>
    </row>
    <row r="1068" spans="1:3" x14ac:dyDescent="0.25">
      <c r="A1068" s="6">
        <v>44388</v>
      </c>
      <c r="B1068" t="s">
        <v>28</v>
      </c>
      <c r="C1068" s="2">
        <v>953</v>
      </c>
    </row>
    <row r="1069" spans="1:3" x14ac:dyDescent="0.25">
      <c r="A1069" s="6">
        <v>44297</v>
      </c>
      <c r="B1069" t="s">
        <v>26</v>
      </c>
      <c r="C1069" s="2">
        <v>812</v>
      </c>
    </row>
    <row r="1070" spans="1:3" x14ac:dyDescent="0.25">
      <c r="A1070" s="6">
        <v>44261</v>
      </c>
      <c r="B1070" t="s">
        <v>26</v>
      </c>
      <c r="C1070" s="2">
        <v>940</v>
      </c>
    </row>
    <row r="1071" spans="1:3" x14ac:dyDescent="0.25">
      <c r="A1071" s="6">
        <v>44470</v>
      </c>
      <c r="B1071" t="s">
        <v>25</v>
      </c>
      <c r="C1071" s="2">
        <v>1133</v>
      </c>
    </row>
    <row r="1072" spans="1:3" x14ac:dyDescent="0.25">
      <c r="A1072" s="6">
        <v>44372</v>
      </c>
      <c r="B1072" t="s">
        <v>26</v>
      </c>
      <c r="C1072" s="2">
        <v>963</v>
      </c>
    </row>
    <row r="1073" spans="1:3" x14ac:dyDescent="0.25">
      <c r="A1073" s="6">
        <v>44285</v>
      </c>
      <c r="B1073" t="s">
        <v>26</v>
      </c>
      <c r="C1073" s="2">
        <v>1121</v>
      </c>
    </row>
    <row r="1074" spans="1:3" x14ac:dyDescent="0.25">
      <c r="A1074" s="6">
        <v>44395</v>
      </c>
      <c r="B1074" t="s">
        <v>25</v>
      </c>
      <c r="C1074" s="2">
        <v>853</v>
      </c>
    </row>
    <row r="1075" spans="1:3" x14ac:dyDescent="0.25">
      <c r="A1075" s="6">
        <v>44281</v>
      </c>
      <c r="B1075" t="s">
        <v>26</v>
      </c>
      <c r="C1075" s="2">
        <v>1064</v>
      </c>
    </row>
    <row r="1076" spans="1:3" x14ac:dyDescent="0.25">
      <c r="A1076" s="6">
        <v>44414</v>
      </c>
      <c r="B1076" t="s">
        <v>25</v>
      </c>
      <c r="C1076" s="2">
        <v>869</v>
      </c>
    </row>
    <row r="1077" spans="1:3" x14ac:dyDescent="0.25">
      <c r="A1077" s="6">
        <v>44348</v>
      </c>
      <c r="B1077" t="s">
        <v>28</v>
      </c>
      <c r="C1077" s="2">
        <v>1194</v>
      </c>
    </row>
    <row r="1078" spans="1:3" x14ac:dyDescent="0.25">
      <c r="A1078" s="6">
        <v>44435</v>
      </c>
      <c r="B1078" t="s">
        <v>25</v>
      </c>
      <c r="C1078" s="2">
        <v>815</v>
      </c>
    </row>
    <row r="1079" spans="1:3" x14ac:dyDescent="0.25">
      <c r="A1079" s="6">
        <v>44526</v>
      </c>
      <c r="B1079" t="s">
        <v>25</v>
      </c>
      <c r="C1079" s="2">
        <v>914</v>
      </c>
    </row>
    <row r="1080" spans="1:3" x14ac:dyDescent="0.25">
      <c r="A1080" s="6">
        <v>44461</v>
      </c>
      <c r="B1080" t="s">
        <v>25</v>
      </c>
      <c r="C1080" s="2">
        <v>1111</v>
      </c>
    </row>
    <row r="1081" spans="1:3" x14ac:dyDescent="0.25">
      <c r="A1081" s="6">
        <v>44537</v>
      </c>
      <c r="B1081" t="s">
        <v>26</v>
      </c>
      <c r="C1081" s="2">
        <v>824</v>
      </c>
    </row>
    <row r="1082" spans="1:3" x14ac:dyDescent="0.25">
      <c r="A1082" s="6">
        <v>44302</v>
      </c>
      <c r="B1082" t="s">
        <v>26</v>
      </c>
      <c r="C1082" s="2">
        <v>859</v>
      </c>
    </row>
    <row r="1083" spans="1:3" x14ac:dyDescent="0.25">
      <c r="A1083" s="6">
        <v>44207</v>
      </c>
      <c r="B1083" t="s">
        <v>25</v>
      </c>
      <c r="C1083" s="2">
        <v>817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2014-C581-4BBC-A87B-4F863E97B77F}">
  <sheetPr codeName="Sheet11"/>
  <dimension ref="A1:E31"/>
  <sheetViews>
    <sheetView workbookViewId="0"/>
  </sheetViews>
  <sheetFormatPr defaultRowHeight="15" x14ac:dyDescent="0.25"/>
  <cols>
    <col min="2" max="2" width="11.5703125" bestFit="1" customWidth="1"/>
    <col min="5" max="5" width="11.5703125" bestFit="1" customWidth="1"/>
  </cols>
  <sheetData>
    <row r="1" spans="1:5" x14ac:dyDescent="0.25">
      <c r="A1" t="s">
        <v>37</v>
      </c>
      <c r="B1" t="s">
        <v>38</v>
      </c>
      <c r="D1" t="s">
        <v>37</v>
      </c>
      <c r="E1" t="s">
        <v>38</v>
      </c>
    </row>
    <row r="2" spans="1:5" x14ac:dyDescent="0.25">
      <c r="A2">
        <v>1993</v>
      </c>
      <c r="B2" s="2">
        <v>612543</v>
      </c>
      <c r="D2">
        <v>1993</v>
      </c>
      <c r="E2" s="2">
        <f>VLOOKUP(D2,$A$2:$B$31,2,FALSE)</f>
        <v>612543</v>
      </c>
    </row>
    <row r="3" spans="1:5" x14ac:dyDescent="0.25">
      <c r="A3">
        <f>A2+1</f>
        <v>1994</v>
      </c>
      <c r="B3" s="10">
        <v>600292</v>
      </c>
      <c r="D3">
        <f>D2+1</f>
        <v>1994</v>
      </c>
      <c r="E3" s="2">
        <f t="shared" ref="E3:E6" si="0">VLOOKUP(D3,$A$2:$B$31,2,FALSE)</f>
        <v>600292</v>
      </c>
    </row>
    <row r="4" spans="1:5" x14ac:dyDescent="0.25">
      <c r="A4">
        <f t="shared" ref="A4:A31" si="1">A3+1</f>
        <v>1995</v>
      </c>
      <c r="B4" s="10">
        <v>636310</v>
      </c>
      <c r="D4">
        <f t="shared" ref="D4:D6" si="2">D3+1</f>
        <v>1995</v>
      </c>
      <c r="E4" s="2">
        <f t="shared" si="0"/>
        <v>636310</v>
      </c>
    </row>
    <row r="5" spans="1:5" x14ac:dyDescent="0.25">
      <c r="A5">
        <f t="shared" si="1"/>
        <v>1996</v>
      </c>
      <c r="B5" s="10">
        <v>661762</v>
      </c>
      <c r="D5">
        <f t="shared" si="2"/>
        <v>1996</v>
      </c>
      <c r="E5" s="2">
        <f t="shared" si="0"/>
        <v>661762</v>
      </c>
    </row>
    <row r="6" spans="1:5" x14ac:dyDescent="0.25">
      <c r="A6">
        <f t="shared" si="1"/>
        <v>1997</v>
      </c>
      <c r="B6" s="10">
        <v>668380</v>
      </c>
      <c r="D6">
        <f t="shared" si="2"/>
        <v>1997</v>
      </c>
      <c r="E6" s="2">
        <f t="shared" si="0"/>
        <v>668380</v>
      </c>
    </row>
    <row r="7" spans="1:5" x14ac:dyDescent="0.25">
      <c r="A7">
        <f t="shared" si="1"/>
        <v>1998</v>
      </c>
      <c r="B7" s="10">
        <v>701799</v>
      </c>
    </row>
    <row r="8" spans="1:5" x14ac:dyDescent="0.25">
      <c r="A8">
        <f t="shared" si="1"/>
        <v>1999</v>
      </c>
      <c r="B8" s="10">
        <v>750925</v>
      </c>
    </row>
    <row r="9" spans="1:5" x14ac:dyDescent="0.25">
      <c r="A9">
        <f t="shared" si="1"/>
        <v>2000</v>
      </c>
      <c r="B9" s="10">
        <v>720888</v>
      </c>
    </row>
    <row r="10" spans="1:5" x14ac:dyDescent="0.25">
      <c r="A10">
        <f t="shared" si="1"/>
        <v>2001</v>
      </c>
      <c r="B10" s="10">
        <v>756932</v>
      </c>
    </row>
    <row r="11" spans="1:5" x14ac:dyDescent="0.25">
      <c r="A11">
        <f t="shared" si="1"/>
        <v>2002</v>
      </c>
      <c r="B11" s="10">
        <v>825056</v>
      </c>
    </row>
    <row r="12" spans="1:5" x14ac:dyDescent="0.25">
      <c r="A12">
        <f t="shared" si="1"/>
        <v>2003</v>
      </c>
      <c r="B12" s="10">
        <v>907562</v>
      </c>
    </row>
    <row r="13" spans="1:5" x14ac:dyDescent="0.25">
      <c r="A13">
        <f t="shared" si="1"/>
        <v>2004</v>
      </c>
      <c r="B13" s="10">
        <v>980167</v>
      </c>
    </row>
    <row r="14" spans="1:5" x14ac:dyDescent="0.25">
      <c r="A14">
        <f t="shared" si="1"/>
        <v>2005</v>
      </c>
      <c r="B14" s="10">
        <v>989969</v>
      </c>
    </row>
    <row r="15" spans="1:5" x14ac:dyDescent="0.25">
      <c r="A15">
        <f t="shared" si="1"/>
        <v>2006</v>
      </c>
      <c r="B15" s="10">
        <v>980069</v>
      </c>
    </row>
    <row r="16" spans="1:5" x14ac:dyDescent="0.25">
      <c r="A16">
        <f t="shared" si="1"/>
        <v>2007</v>
      </c>
      <c r="B16" s="10">
        <v>1068275</v>
      </c>
    </row>
    <row r="17" spans="1:2" x14ac:dyDescent="0.25">
      <c r="A17">
        <f t="shared" si="1"/>
        <v>2008</v>
      </c>
      <c r="B17" s="10">
        <v>1143054</v>
      </c>
    </row>
    <row r="18" spans="1:2" x14ac:dyDescent="0.25">
      <c r="A18">
        <f t="shared" si="1"/>
        <v>2009</v>
      </c>
      <c r="B18" s="10">
        <v>1108762</v>
      </c>
    </row>
    <row r="19" spans="1:2" x14ac:dyDescent="0.25">
      <c r="A19">
        <f t="shared" si="1"/>
        <v>2010</v>
      </c>
      <c r="B19" s="10">
        <v>1064412</v>
      </c>
    </row>
    <row r="20" spans="1:2" x14ac:dyDescent="0.25">
      <c r="A20">
        <f t="shared" si="1"/>
        <v>2011</v>
      </c>
      <c r="B20" s="10">
        <v>1160209</v>
      </c>
    </row>
    <row r="21" spans="1:2" x14ac:dyDescent="0.25">
      <c r="A21">
        <f t="shared" si="1"/>
        <v>2012</v>
      </c>
      <c r="B21" s="10">
        <v>1195015</v>
      </c>
    </row>
    <row r="22" spans="1:2" x14ac:dyDescent="0.25">
      <c r="A22">
        <f t="shared" si="1"/>
        <v>2013</v>
      </c>
      <c r="B22" s="10">
        <v>1290616</v>
      </c>
    </row>
    <row r="23" spans="1:2" x14ac:dyDescent="0.25">
      <c r="A23">
        <f t="shared" si="1"/>
        <v>2014</v>
      </c>
      <c r="B23" s="10">
        <v>1342241</v>
      </c>
    </row>
    <row r="24" spans="1:2" x14ac:dyDescent="0.25">
      <c r="A24">
        <f t="shared" si="1"/>
        <v>2015</v>
      </c>
      <c r="B24" s="10">
        <v>1315396</v>
      </c>
    </row>
    <row r="25" spans="1:2" x14ac:dyDescent="0.25">
      <c r="A25">
        <f t="shared" si="1"/>
        <v>2016</v>
      </c>
      <c r="B25" s="10">
        <v>1354858</v>
      </c>
    </row>
    <row r="26" spans="1:2" x14ac:dyDescent="0.25">
      <c r="A26">
        <f t="shared" si="1"/>
        <v>2017</v>
      </c>
      <c r="B26" s="10">
        <v>1381955</v>
      </c>
    </row>
    <row r="27" spans="1:2" x14ac:dyDescent="0.25">
      <c r="A27">
        <f t="shared" si="1"/>
        <v>2018</v>
      </c>
      <c r="B27" s="10">
        <v>1409594</v>
      </c>
    </row>
    <row r="28" spans="1:2" x14ac:dyDescent="0.25">
      <c r="A28">
        <f t="shared" si="1"/>
        <v>2019</v>
      </c>
      <c r="B28" s="10">
        <v>1522362</v>
      </c>
    </row>
    <row r="29" spans="1:2" x14ac:dyDescent="0.25">
      <c r="A29">
        <f t="shared" si="1"/>
        <v>2020</v>
      </c>
      <c r="B29" s="10">
        <v>1674598</v>
      </c>
    </row>
    <row r="30" spans="1:2" x14ac:dyDescent="0.25">
      <c r="A30">
        <f t="shared" si="1"/>
        <v>2021</v>
      </c>
      <c r="B30" s="10">
        <v>1624360</v>
      </c>
    </row>
    <row r="31" spans="1:2" x14ac:dyDescent="0.25">
      <c r="A31">
        <f t="shared" si="1"/>
        <v>2022</v>
      </c>
      <c r="B31" s="10">
        <v>1689334</v>
      </c>
    </row>
  </sheetData>
  <pageMargins left="0.7" right="0.7" top="0.75" bottom="0.75" header="0.3" footer="0.3"/>
  <pageSetup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9AF1-808F-4455-9A89-D1BDC986CEE6}">
  <sheetPr codeName="Sheet12"/>
  <dimension ref="A1:E31"/>
  <sheetViews>
    <sheetView workbookViewId="0"/>
  </sheetViews>
  <sheetFormatPr defaultRowHeight="15" x14ac:dyDescent="0.25"/>
  <cols>
    <col min="2" max="2" width="11.5703125" bestFit="1" customWidth="1"/>
    <col min="5" max="5" width="11.5703125" bestFit="1" customWidth="1"/>
  </cols>
  <sheetData>
    <row r="1" spans="1:5" x14ac:dyDescent="0.25">
      <c r="A1" t="s">
        <v>37</v>
      </c>
      <c r="B1" t="s">
        <v>38</v>
      </c>
      <c r="D1" t="s">
        <v>37</v>
      </c>
      <c r="E1" t="s">
        <v>38</v>
      </c>
    </row>
    <row r="2" spans="1:5" x14ac:dyDescent="0.25">
      <c r="A2">
        <v>1993</v>
      </c>
      <c r="B2" s="2">
        <v>612543</v>
      </c>
      <c r="D2">
        <v>2001</v>
      </c>
      <c r="E2" s="2">
        <f>VLOOKUP(D2,$A$2:$B$31,2,FALSE)</f>
        <v>756932</v>
      </c>
    </row>
    <row r="3" spans="1:5" x14ac:dyDescent="0.25">
      <c r="A3">
        <f>A2+1</f>
        <v>1994</v>
      </c>
      <c r="B3" s="10">
        <v>600292</v>
      </c>
      <c r="D3">
        <f>D2+1</f>
        <v>2002</v>
      </c>
      <c r="E3" s="2">
        <f t="shared" ref="E3:E6" si="0">VLOOKUP(D3,$A$2:$B$31,2,FALSE)</f>
        <v>825056</v>
      </c>
    </row>
    <row r="4" spans="1:5" x14ac:dyDescent="0.25">
      <c r="A4">
        <f t="shared" ref="A4:A31" si="1">A3+1</f>
        <v>1995</v>
      </c>
      <c r="B4" s="10">
        <v>636310</v>
      </c>
      <c r="D4">
        <f t="shared" ref="D4:D6" si="2">D3+1</f>
        <v>2003</v>
      </c>
      <c r="E4" s="2">
        <f t="shared" si="0"/>
        <v>907562</v>
      </c>
    </row>
    <row r="5" spans="1:5" x14ac:dyDescent="0.25">
      <c r="A5">
        <f t="shared" si="1"/>
        <v>1996</v>
      </c>
      <c r="B5" s="10">
        <v>661762</v>
      </c>
      <c r="D5">
        <f t="shared" si="2"/>
        <v>2004</v>
      </c>
      <c r="E5" s="2">
        <f t="shared" si="0"/>
        <v>980167</v>
      </c>
    </row>
    <row r="6" spans="1:5" x14ac:dyDescent="0.25">
      <c r="A6">
        <f t="shared" si="1"/>
        <v>1997</v>
      </c>
      <c r="B6" s="10">
        <v>668380</v>
      </c>
      <c r="D6">
        <f t="shared" si="2"/>
        <v>2005</v>
      </c>
      <c r="E6" s="2">
        <f t="shared" si="0"/>
        <v>989969</v>
      </c>
    </row>
    <row r="7" spans="1:5" x14ac:dyDescent="0.25">
      <c r="A7">
        <f t="shared" si="1"/>
        <v>1998</v>
      </c>
      <c r="B7" s="10">
        <v>701799</v>
      </c>
    </row>
    <row r="8" spans="1:5" x14ac:dyDescent="0.25">
      <c r="A8">
        <f t="shared" si="1"/>
        <v>1999</v>
      </c>
      <c r="B8" s="10">
        <v>750925</v>
      </c>
    </row>
    <row r="9" spans="1:5" x14ac:dyDescent="0.25">
      <c r="A9">
        <f t="shared" si="1"/>
        <v>2000</v>
      </c>
      <c r="B9" s="10">
        <v>720888</v>
      </c>
    </row>
    <row r="10" spans="1:5" x14ac:dyDescent="0.25">
      <c r="A10">
        <f t="shared" si="1"/>
        <v>2001</v>
      </c>
      <c r="B10" s="10">
        <v>756932</v>
      </c>
    </row>
    <row r="11" spans="1:5" x14ac:dyDescent="0.25">
      <c r="A11">
        <f t="shared" si="1"/>
        <v>2002</v>
      </c>
      <c r="B11" s="10">
        <v>825056</v>
      </c>
    </row>
    <row r="12" spans="1:5" x14ac:dyDescent="0.25">
      <c r="A12">
        <f t="shared" si="1"/>
        <v>2003</v>
      </c>
      <c r="B12" s="10">
        <v>907562</v>
      </c>
    </row>
    <row r="13" spans="1:5" x14ac:dyDescent="0.25">
      <c r="A13">
        <f t="shared" si="1"/>
        <v>2004</v>
      </c>
      <c r="B13" s="10">
        <v>980167</v>
      </c>
    </row>
    <row r="14" spans="1:5" x14ac:dyDescent="0.25">
      <c r="A14">
        <f t="shared" si="1"/>
        <v>2005</v>
      </c>
      <c r="B14" s="10">
        <v>989969</v>
      </c>
    </row>
    <row r="15" spans="1:5" x14ac:dyDescent="0.25">
      <c r="A15">
        <f t="shared" si="1"/>
        <v>2006</v>
      </c>
      <c r="B15" s="10">
        <v>980069</v>
      </c>
    </row>
    <row r="16" spans="1:5" x14ac:dyDescent="0.25">
      <c r="A16">
        <f t="shared" si="1"/>
        <v>2007</v>
      </c>
      <c r="B16" s="10">
        <v>1068275</v>
      </c>
    </row>
    <row r="17" spans="1:2" x14ac:dyDescent="0.25">
      <c r="A17">
        <f t="shared" si="1"/>
        <v>2008</v>
      </c>
      <c r="B17" s="10">
        <v>1143054</v>
      </c>
    </row>
    <row r="18" spans="1:2" x14ac:dyDescent="0.25">
      <c r="A18">
        <f t="shared" si="1"/>
        <v>2009</v>
      </c>
      <c r="B18" s="10">
        <v>1108762</v>
      </c>
    </row>
    <row r="19" spans="1:2" x14ac:dyDescent="0.25">
      <c r="A19">
        <f t="shared" si="1"/>
        <v>2010</v>
      </c>
      <c r="B19" s="10">
        <v>1064412</v>
      </c>
    </row>
    <row r="20" spans="1:2" x14ac:dyDescent="0.25">
      <c r="A20">
        <f t="shared" si="1"/>
        <v>2011</v>
      </c>
      <c r="B20" s="10">
        <v>1160209</v>
      </c>
    </row>
    <row r="21" spans="1:2" x14ac:dyDescent="0.25">
      <c r="A21">
        <f t="shared" si="1"/>
        <v>2012</v>
      </c>
      <c r="B21" s="10">
        <v>1195015</v>
      </c>
    </row>
    <row r="22" spans="1:2" x14ac:dyDescent="0.25">
      <c r="A22">
        <f t="shared" si="1"/>
        <v>2013</v>
      </c>
      <c r="B22" s="10">
        <v>1290616</v>
      </c>
    </row>
    <row r="23" spans="1:2" x14ac:dyDescent="0.25">
      <c r="A23">
        <f t="shared" si="1"/>
        <v>2014</v>
      </c>
      <c r="B23" s="10">
        <v>1342241</v>
      </c>
    </row>
    <row r="24" spans="1:2" x14ac:dyDescent="0.25">
      <c r="A24">
        <f t="shared" si="1"/>
        <v>2015</v>
      </c>
      <c r="B24" s="10">
        <v>1315396</v>
      </c>
    </row>
    <row r="25" spans="1:2" x14ac:dyDescent="0.25">
      <c r="A25">
        <f t="shared" si="1"/>
        <v>2016</v>
      </c>
      <c r="B25" s="10">
        <v>1354858</v>
      </c>
    </row>
    <row r="26" spans="1:2" x14ac:dyDescent="0.25">
      <c r="A26">
        <f t="shared" si="1"/>
        <v>2017</v>
      </c>
      <c r="B26" s="10">
        <v>1381955</v>
      </c>
    </row>
    <row r="27" spans="1:2" x14ac:dyDescent="0.25">
      <c r="A27">
        <f t="shared" si="1"/>
        <v>2018</v>
      </c>
      <c r="B27" s="10">
        <v>1409594</v>
      </c>
    </row>
    <row r="28" spans="1:2" x14ac:dyDescent="0.25">
      <c r="A28">
        <f t="shared" si="1"/>
        <v>2019</v>
      </c>
      <c r="B28" s="10">
        <v>1522362</v>
      </c>
    </row>
    <row r="29" spans="1:2" x14ac:dyDescent="0.25">
      <c r="A29">
        <f t="shared" si="1"/>
        <v>2020</v>
      </c>
      <c r="B29" s="10">
        <v>1674598</v>
      </c>
    </row>
    <row r="30" spans="1:2" x14ac:dyDescent="0.25">
      <c r="A30">
        <f t="shared" si="1"/>
        <v>2021</v>
      </c>
      <c r="B30" s="10">
        <v>1624360</v>
      </c>
    </row>
    <row r="31" spans="1:2" x14ac:dyDescent="0.25">
      <c r="A31">
        <f t="shared" si="1"/>
        <v>2022</v>
      </c>
      <c r="B31" s="10">
        <v>1689334</v>
      </c>
    </row>
  </sheetData>
  <pageMargins left="0.7" right="0.7" top="0.75" bottom="0.75" header="0.3" footer="0.3"/>
  <pageSetup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34A9-D326-47CC-9FA9-4618EC0835B6}">
  <sheetPr codeName="Sheet10"/>
  <dimension ref="A1:E31"/>
  <sheetViews>
    <sheetView showGridLines="0" workbookViewId="0"/>
  </sheetViews>
  <sheetFormatPr defaultRowHeight="15" x14ac:dyDescent="0.25"/>
  <cols>
    <col min="2" max="2" width="11.5703125" bestFit="1" customWidth="1"/>
    <col min="5" max="5" width="11.5703125" bestFit="1" customWidth="1"/>
  </cols>
  <sheetData>
    <row r="1" spans="1:5" x14ac:dyDescent="0.25">
      <c r="A1" t="s">
        <v>37</v>
      </c>
      <c r="B1" t="s">
        <v>38</v>
      </c>
      <c r="D1" t="s">
        <v>37</v>
      </c>
      <c r="E1" t="s">
        <v>38</v>
      </c>
    </row>
    <row r="2" spans="1:5" x14ac:dyDescent="0.25">
      <c r="A2">
        <v>1993</v>
      </c>
      <c r="B2" s="2">
        <v>612543</v>
      </c>
      <c r="D2">
        <v>2008</v>
      </c>
      <c r="E2" s="2">
        <f>VLOOKUP(D2,$A$2:$B$31,2,FALSE)</f>
        <v>1143054</v>
      </c>
    </row>
    <row r="3" spans="1:5" x14ac:dyDescent="0.25">
      <c r="A3">
        <f>A2+1</f>
        <v>1994</v>
      </c>
      <c r="B3" s="10">
        <v>600292</v>
      </c>
      <c r="D3">
        <f>D2+1</f>
        <v>2009</v>
      </c>
      <c r="E3" s="2">
        <f t="shared" ref="E3:E6" si="0">VLOOKUP(D3,$A$2:$B$31,2,FALSE)</f>
        <v>1108762</v>
      </c>
    </row>
    <row r="4" spans="1:5" x14ac:dyDescent="0.25">
      <c r="A4">
        <f t="shared" ref="A4:A29" si="1">A3+1</f>
        <v>1995</v>
      </c>
      <c r="B4" s="10">
        <v>636310</v>
      </c>
      <c r="D4">
        <f t="shared" ref="D4:D6" si="2">D3+1</f>
        <v>2010</v>
      </c>
      <c r="E4" s="2">
        <f t="shared" si="0"/>
        <v>1064412</v>
      </c>
    </row>
    <row r="5" spans="1:5" x14ac:dyDescent="0.25">
      <c r="A5">
        <f t="shared" si="1"/>
        <v>1996</v>
      </c>
      <c r="B5" s="10">
        <v>661762</v>
      </c>
      <c r="D5">
        <f t="shared" si="2"/>
        <v>2011</v>
      </c>
      <c r="E5" s="2">
        <f t="shared" si="0"/>
        <v>1160209</v>
      </c>
    </row>
    <row r="6" spans="1:5" x14ac:dyDescent="0.25">
      <c r="A6">
        <f t="shared" si="1"/>
        <v>1997</v>
      </c>
      <c r="B6" s="10">
        <v>668380</v>
      </c>
      <c r="D6">
        <f t="shared" si="2"/>
        <v>2012</v>
      </c>
      <c r="E6" s="2">
        <f t="shared" si="0"/>
        <v>1195015</v>
      </c>
    </row>
    <row r="7" spans="1:5" x14ac:dyDescent="0.25">
      <c r="A7">
        <f t="shared" si="1"/>
        <v>1998</v>
      </c>
      <c r="B7" s="10">
        <v>701799</v>
      </c>
    </row>
    <row r="8" spans="1:5" x14ac:dyDescent="0.25">
      <c r="A8">
        <f t="shared" si="1"/>
        <v>1999</v>
      </c>
      <c r="B8" s="10">
        <v>750925</v>
      </c>
    </row>
    <row r="9" spans="1:5" x14ac:dyDescent="0.25">
      <c r="A9">
        <f t="shared" si="1"/>
        <v>2000</v>
      </c>
      <c r="B9" s="10">
        <v>720888</v>
      </c>
    </row>
    <row r="10" spans="1:5" x14ac:dyDescent="0.25">
      <c r="A10">
        <f t="shared" si="1"/>
        <v>2001</v>
      </c>
      <c r="B10" s="10">
        <v>756932</v>
      </c>
    </row>
    <row r="11" spans="1:5" x14ac:dyDescent="0.25">
      <c r="A11">
        <f t="shared" si="1"/>
        <v>2002</v>
      </c>
      <c r="B11" s="10">
        <v>825056</v>
      </c>
    </row>
    <row r="12" spans="1:5" x14ac:dyDescent="0.25">
      <c r="A12">
        <f t="shared" si="1"/>
        <v>2003</v>
      </c>
      <c r="B12" s="10">
        <v>907562</v>
      </c>
    </row>
    <row r="13" spans="1:5" x14ac:dyDescent="0.25">
      <c r="A13">
        <f t="shared" si="1"/>
        <v>2004</v>
      </c>
      <c r="B13" s="10">
        <v>980167</v>
      </c>
    </row>
    <row r="14" spans="1:5" x14ac:dyDescent="0.25">
      <c r="A14">
        <f t="shared" si="1"/>
        <v>2005</v>
      </c>
      <c r="B14" s="10">
        <v>989969</v>
      </c>
    </row>
    <row r="15" spans="1:5" x14ac:dyDescent="0.25">
      <c r="A15">
        <f t="shared" si="1"/>
        <v>2006</v>
      </c>
      <c r="B15" s="10">
        <v>980069</v>
      </c>
    </row>
    <row r="16" spans="1:5" x14ac:dyDescent="0.25">
      <c r="A16">
        <f t="shared" si="1"/>
        <v>2007</v>
      </c>
      <c r="B16" s="10">
        <v>1068275</v>
      </c>
    </row>
    <row r="17" spans="1:2" x14ac:dyDescent="0.25">
      <c r="A17">
        <f t="shared" si="1"/>
        <v>2008</v>
      </c>
      <c r="B17" s="10">
        <v>1143054</v>
      </c>
    </row>
    <row r="18" spans="1:2" x14ac:dyDescent="0.25">
      <c r="A18">
        <f t="shared" si="1"/>
        <v>2009</v>
      </c>
      <c r="B18" s="10">
        <v>1108762</v>
      </c>
    </row>
    <row r="19" spans="1:2" x14ac:dyDescent="0.25">
      <c r="A19">
        <f t="shared" si="1"/>
        <v>2010</v>
      </c>
      <c r="B19" s="10">
        <v>1064412</v>
      </c>
    </row>
    <row r="20" spans="1:2" x14ac:dyDescent="0.25">
      <c r="A20">
        <f t="shared" si="1"/>
        <v>2011</v>
      </c>
      <c r="B20" s="10">
        <v>1160209</v>
      </c>
    </row>
    <row r="21" spans="1:2" x14ac:dyDescent="0.25">
      <c r="A21">
        <f t="shared" si="1"/>
        <v>2012</v>
      </c>
      <c r="B21" s="10">
        <v>1195015</v>
      </c>
    </row>
    <row r="22" spans="1:2" x14ac:dyDescent="0.25">
      <c r="A22">
        <f t="shared" si="1"/>
        <v>2013</v>
      </c>
      <c r="B22" s="10">
        <v>1290616</v>
      </c>
    </row>
    <row r="23" spans="1:2" x14ac:dyDescent="0.25">
      <c r="A23">
        <f t="shared" si="1"/>
        <v>2014</v>
      </c>
      <c r="B23" s="10">
        <v>1342241</v>
      </c>
    </row>
    <row r="24" spans="1:2" x14ac:dyDescent="0.25">
      <c r="A24">
        <f t="shared" si="1"/>
        <v>2015</v>
      </c>
      <c r="B24" s="10">
        <v>1315396</v>
      </c>
    </row>
    <row r="25" spans="1:2" x14ac:dyDescent="0.25">
      <c r="A25">
        <f t="shared" si="1"/>
        <v>2016</v>
      </c>
      <c r="B25" s="10">
        <v>1354858</v>
      </c>
    </row>
    <row r="26" spans="1:2" x14ac:dyDescent="0.25">
      <c r="A26">
        <f t="shared" si="1"/>
        <v>2017</v>
      </c>
      <c r="B26" s="10">
        <v>1381955</v>
      </c>
    </row>
    <row r="27" spans="1:2" x14ac:dyDescent="0.25">
      <c r="A27">
        <f t="shared" si="1"/>
        <v>2018</v>
      </c>
      <c r="B27" s="10">
        <v>1409594</v>
      </c>
    </row>
    <row r="28" spans="1:2" x14ac:dyDescent="0.25">
      <c r="A28">
        <f t="shared" si="1"/>
        <v>2019</v>
      </c>
      <c r="B28" s="10">
        <v>1522362</v>
      </c>
    </row>
    <row r="29" spans="1:2" x14ac:dyDescent="0.25">
      <c r="A29">
        <f t="shared" si="1"/>
        <v>2020</v>
      </c>
      <c r="B29" s="10">
        <v>1674598</v>
      </c>
    </row>
    <row r="30" spans="1:2" x14ac:dyDescent="0.25">
      <c r="A30">
        <f t="shared" ref="A30:A31" si="3">A29+1</f>
        <v>2021</v>
      </c>
      <c r="B30" s="10">
        <v>1624360</v>
      </c>
    </row>
    <row r="31" spans="1:2" x14ac:dyDescent="0.25">
      <c r="A31">
        <f t="shared" si="3"/>
        <v>2022</v>
      </c>
      <c r="B31" s="10">
        <v>1689334</v>
      </c>
    </row>
  </sheetData>
  <pageMargins left="0.7" right="0.7" top="0.75" bottom="0.75" header="0.3" footer="0.3"/>
  <pageSetup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Scroll Bar 1">
              <controlPr defaultSize="0" autoPict="0">
                <anchor moveWithCells="1">
                  <from>
                    <xdr:col>9</xdr:col>
                    <xdr:colOff>381000</xdr:colOff>
                    <xdr:row>23</xdr:row>
                    <xdr:rowOff>171450</xdr:rowOff>
                  </from>
                  <to>
                    <xdr:col>17</xdr:col>
                    <xdr:colOff>76200</xdr:colOff>
                    <xdr:row>24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9.1</vt:lpstr>
      <vt:lpstr>9.3</vt:lpstr>
      <vt:lpstr>9.4</vt:lpstr>
      <vt:lpstr>9.14</vt:lpstr>
      <vt:lpstr>9.26</vt:lpstr>
      <vt:lpstr>9.27</vt:lpstr>
      <vt:lpstr>9.33</vt:lpstr>
      <vt:lpstr>9.40</vt:lpstr>
      <vt:lpstr>9.49</vt:lpstr>
      <vt:lpstr>9.52</vt:lpstr>
      <vt:lpstr>9.53</vt:lpstr>
      <vt:lpstr>9.55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2020-03-15T14:35:50Z</dcterms:created>
  <dcterms:modified xsi:type="dcterms:W3CDTF">2020-04-28T00:29:43Z</dcterms:modified>
</cp:coreProperties>
</file>