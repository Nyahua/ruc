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ick\Dropbox\books\Dashboards\Working\Chapter9\"/>
    </mc:Choice>
  </mc:AlternateContent>
  <xr:revisionPtr revIDLastSave="0" documentId="13_ncr:1_{8CDC0524-9AB5-43F8-87FB-E4FC572B9B8B}" xr6:coauthVersionLast="45" xr6:coauthVersionMax="45" xr10:uidLastSave="{00000000-0000-0000-0000-000000000000}"/>
  <bookViews>
    <workbookView xWindow="28680" yWindow="-120" windowWidth="29040" windowHeight="16440" activeTab="3" xr2:uid="{D9F870C5-E7F0-4C2B-B20A-1A214271F48B}"/>
  </bookViews>
  <sheets>
    <sheet name="Initial" sheetId="1" r:id="rId1"/>
    <sheet name="Completed" sheetId="3" r:id="rId2"/>
    <sheet name="InitalProjection" sheetId="6" r:id="rId3"/>
    <sheet name="CompletedProjection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14" i="6" l="1"/>
  <c r="L14" i="6"/>
  <c r="K14" i="6"/>
  <c r="M13" i="6"/>
  <c r="L13" i="6"/>
  <c r="K13" i="6"/>
  <c r="M12" i="6"/>
  <c r="L12" i="6"/>
  <c r="K12" i="6"/>
  <c r="M11" i="6"/>
  <c r="L11" i="6"/>
  <c r="K11" i="6"/>
  <c r="M10" i="6"/>
  <c r="L10" i="6"/>
  <c r="K10" i="6"/>
  <c r="M9" i="6"/>
  <c r="L9" i="6"/>
  <c r="K9" i="6"/>
  <c r="J9" i="6"/>
  <c r="I9" i="6"/>
  <c r="H9" i="6"/>
  <c r="G9" i="6"/>
  <c r="F9" i="6"/>
  <c r="E9" i="6"/>
  <c r="D9" i="6"/>
  <c r="C9" i="6"/>
  <c r="B9" i="6"/>
  <c r="C9" i="5" l="1"/>
  <c r="D9" i="5"/>
  <c r="E9" i="5"/>
  <c r="F9" i="5"/>
  <c r="G9" i="5"/>
  <c r="H9" i="5"/>
  <c r="I9" i="5"/>
  <c r="J9" i="5"/>
  <c r="K9" i="5"/>
  <c r="L9" i="5"/>
  <c r="M9" i="5"/>
  <c r="B9" i="5"/>
  <c r="L11" i="5"/>
  <c r="M11" i="5"/>
  <c r="L12" i="5"/>
  <c r="M12" i="5"/>
  <c r="L13" i="5"/>
  <c r="M13" i="5"/>
  <c r="L14" i="5"/>
  <c r="M14" i="5"/>
  <c r="M10" i="5"/>
  <c r="L10" i="5"/>
  <c r="K11" i="5"/>
  <c r="K12" i="5"/>
  <c r="K13" i="5"/>
  <c r="K14" i="5"/>
  <c r="K10" i="5"/>
</calcChain>
</file>

<file path=xl/sharedStrings.xml><?xml version="1.0" encoding="utf-8"?>
<sst xmlns="http://schemas.openxmlformats.org/spreadsheetml/2006/main" count="48" uniqueCount="9">
  <si>
    <t>Product Category</t>
  </si>
  <si>
    <t>Game Consoles</t>
  </si>
  <si>
    <t>Audio Visual</t>
  </si>
  <si>
    <t>Phones</t>
  </si>
  <si>
    <t>Personal Computers</t>
  </si>
  <si>
    <t>Tablets</t>
  </si>
  <si>
    <t>Projected</t>
  </si>
  <si>
    <t>Actual</t>
  </si>
  <si>
    <t>Prior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</si>
</sst>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0" fontId="0" fillId="0" borderId="0" xfId="0" applyAlignment="1">
      <alignment horizontal="center"/>
    </xf>
    <xf numFmtId="164" fontId="0" fillId="0" borderId="0" xfId="0" applyNumberFormat="1"/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Initial!$A$2</c:f>
              <c:strCache>
                <c:ptCount val="1"/>
                <c:pt idx="0">
                  <c:v>Game Consoles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Initial!$B$1:$K$1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Initial!$B$2:$K$2</c:f>
              <c:numCache>
                <c:formatCode>_(* #,##0_);_(* \(#,##0\);_(* "-"??_);_(@_)</c:formatCode>
                <c:ptCount val="10"/>
                <c:pt idx="0">
                  <c:v>358798</c:v>
                </c:pt>
                <c:pt idx="1">
                  <c:v>423423</c:v>
                </c:pt>
                <c:pt idx="2">
                  <c:v>356213</c:v>
                </c:pt>
                <c:pt idx="3">
                  <c:v>437382</c:v>
                </c:pt>
                <c:pt idx="4">
                  <c:v>398090</c:v>
                </c:pt>
                <c:pt idx="5">
                  <c:v>455477</c:v>
                </c:pt>
                <c:pt idx="6">
                  <c:v>476674</c:v>
                </c:pt>
                <c:pt idx="7">
                  <c:v>476674</c:v>
                </c:pt>
                <c:pt idx="8">
                  <c:v>393437</c:v>
                </c:pt>
                <c:pt idx="9">
                  <c:v>496837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B4-4912-B26E-D2BC059C6831}"/>
            </c:ext>
          </c:extLst>
        </c:ser>
        <c:ser>
          <c:idx val="1"/>
          <c:order val="1"/>
          <c:tx>
            <c:strRef>
              <c:f>Initial!$A$3</c:f>
              <c:strCache>
                <c:ptCount val="1"/>
                <c:pt idx="0">
                  <c:v>Audio Visual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Initial!$B$1:$K$1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Initial!$B$3:$K$3</c:f>
              <c:numCache>
                <c:formatCode>_(* #,##0_);_(* \(#,##0\);_(* "-"??_);_(@_)</c:formatCode>
                <c:ptCount val="10"/>
                <c:pt idx="0">
                  <c:v>692860</c:v>
                </c:pt>
                <c:pt idx="1">
                  <c:v>870239.99999999988</c:v>
                </c:pt>
                <c:pt idx="2">
                  <c:v>696780</c:v>
                </c:pt>
                <c:pt idx="3">
                  <c:v>853580</c:v>
                </c:pt>
                <c:pt idx="4">
                  <c:v>735980</c:v>
                </c:pt>
                <c:pt idx="5">
                  <c:v>901600</c:v>
                </c:pt>
                <c:pt idx="6">
                  <c:v>895720.00000000012</c:v>
                </c:pt>
                <c:pt idx="7">
                  <c:v>884940</c:v>
                </c:pt>
                <c:pt idx="8">
                  <c:v>784000</c:v>
                </c:pt>
                <c:pt idx="9">
                  <c:v>970200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B4-4912-B26E-D2BC059C6831}"/>
            </c:ext>
          </c:extLst>
        </c:ser>
        <c:ser>
          <c:idx val="2"/>
          <c:order val="2"/>
          <c:tx>
            <c:strRef>
              <c:f>Initial!$A$4</c:f>
              <c:strCache>
                <c:ptCount val="1"/>
                <c:pt idx="0">
                  <c:v>Phones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Initial!$B$1:$K$1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Initial!$B$4:$K$4</c:f>
              <c:numCache>
                <c:formatCode>_(* #,##0_);_(* \(#,##0\);_(* "-"??_);_(@_)</c:formatCode>
                <c:ptCount val="10"/>
                <c:pt idx="0">
                  <c:v>1330199.9999999998</c:v>
                </c:pt>
                <c:pt idx="1">
                  <c:v>1493999.9999999998</c:v>
                </c:pt>
                <c:pt idx="2">
                  <c:v>1342800</c:v>
                </c:pt>
                <c:pt idx="3">
                  <c:v>1423799.9999999998</c:v>
                </c:pt>
                <c:pt idx="4">
                  <c:v>1405800</c:v>
                </c:pt>
                <c:pt idx="5">
                  <c:v>1638000</c:v>
                </c:pt>
                <c:pt idx="6">
                  <c:v>1782000</c:v>
                </c:pt>
                <c:pt idx="7">
                  <c:v>1618200.0000000002</c:v>
                </c:pt>
                <c:pt idx="8">
                  <c:v>1197000</c:v>
                </c:pt>
                <c:pt idx="9">
                  <c:v>1884600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B4-4912-B26E-D2BC059C6831}"/>
            </c:ext>
          </c:extLst>
        </c:ser>
        <c:ser>
          <c:idx val="3"/>
          <c:order val="3"/>
          <c:tx>
            <c:strRef>
              <c:f>Initial!$A$5</c:f>
              <c:strCache>
                <c:ptCount val="1"/>
                <c:pt idx="0">
                  <c:v>Tablets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Initial!$B$1:$K$1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Initial!$B$5:$K$5</c:f>
              <c:numCache>
                <c:formatCode>_(* #,##0_);_(* \(#,##0\);_(* "-"??_);_(@_)</c:formatCode>
                <c:ptCount val="10"/>
                <c:pt idx="0">
                  <c:v>202720.00000000003</c:v>
                </c:pt>
                <c:pt idx="1">
                  <c:v>239119.99999999997</c:v>
                </c:pt>
                <c:pt idx="2">
                  <c:v>234079.99999999997</c:v>
                </c:pt>
                <c:pt idx="3">
                  <c:v>228479.99999999997</c:v>
                </c:pt>
                <c:pt idx="4">
                  <c:v>186760</c:v>
                </c:pt>
                <c:pt idx="5">
                  <c:v>256480</c:v>
                </c:pt>
                <c:pt idx="6">
                  <c:v>281960</c:v>
                </c:pt>
                <c:pt idx="7">
                  <c:v>293720</c:v>
                </c:pt>
                <c:pt idx="8">
                  <c:v>229040</c:v>
                </c:pt>
                <c:pt idx="9">
                  <c:v>298760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CB4-4912-B26E-D2BC059C6831}"/>
            </c:ext>
          </c:extLst>
        </c:ser>
        <c:ser>
          <c:idx val="4"/>
          <c:order val="4"/>
          <c:tx>
            <c:strRef>
              <c:f>Initial!$A$6</c:f>
              <c:strCache>
                <c:ptCount val="1"/>
                <c:pt idx="0">
                  <c:v>Personal Computers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Initial!$B$1:$K$1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Initial!$B$6:$K$6</c:f>
              <c:numCache>
                <c:formatCode>_(* #,##0_);_(* \(#,##0\);_(* "-"??_);_(@_)</c:formatCode>
                <c:ptCount val="10"/>
                <c:pt idx="0">
                  <c:v>759759</c:v>
                </c:pt>
                <c:pt idx="1">
                  <c:v>693693</c:v>
                </c:pt>
                <c:pt idx="2">
                  <c:v>786786</c:v>
                </c:pt>
                <c:pt idx="3">
                  <c:v>852852</c:v>
                </c:pt>
                <c:pt idx="4">
                  <c:v>712712</c:v>
                </c:pt>
                <c:pt idx="5">
                  <c:v>906906</c:v>
                </c:pt>
                <c:pt idx="6">
                  <c:v>1071070</c:v>
                </c:pt>
                <c:pt idx="7">
                  <c:v>1037036.0000000001</c:v>
                </c:pt>
                <c:pt idx="8">
                  <c:v>820820</c:v>
                </c:pt>
                <c:pt idx="9">
                  <c:v>972972.00000000012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CB4-4912-B26E-D2BC059C6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2547400"/>
        <c:axId val="672548056"/>
      </c:lineChart>
      <c:catAx>
        <c:axId val="672547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548056"/>
        <c:crosses val="autoZero"/>
        <c:auto val="1"/>
        <c:lblAlgn val="ctr"/>
        <c:lblOffset val="100"/>
        <c:noMultiLvlLbl val="0"/>
      </c:catAx>
      <c:valAx>
        <c:axId val="672548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547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Completed!$A$2</c:f>
              <c:strCache>
                <c:ptCount val="1"/>
                <c:pt idx="0">
                  <c:v>Game Consoles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Completed!$B$1:$K$1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Completed!$B$2:$K$2</c:f>
              <c:numCache>
                <c:formatCode>_(* #,##0_);_(* \(#,##0\);_(* "-"??_);_(@_)</c:formatCode>
                <c:ptCount val="10"/>
                <c:pt idx="0">
                  <c:v>358798</c:v>
                </c:pt>
                <c:pt idx="1">
                  <c:v>423423</c:v>
                </c:pt>
                <c:pt idx="2">
                  <c:v>356213</c:v>
                </c:pt>
                <c:pt idx="3">
                  <c:v>437382</c:v>
                </c:pt>
                <c:pt idx="4">
                  <c:v>398090</c:v>
                </c:pt>
                <c:pt idx="5">
                  <c:v>455477</c:v>
                </c:pt>
                <c:pt idx="6">
                  <c:v>476674</c:v>
                </c:pt>
                <c:pt idx="7">
                  <c:v>476674</c:v>
                </c:pt>
                <c:pt idx="8">
                  <c:v>393437</c:v>
                </c:pt>
                <c:pt idx="9">
                  <c:v>496837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45-4875-9EBB-E03110DFD3CC}"/>
            </c:ext>
          </c:extLst>
        </c:ser>
        <c:ser>
          <c:idx val="1"/>
          <c:order val="1"/>
          <c:tx>
            <c:strRef>
              <c:f>Completed!$A$3</c:f>
              <c:strCache>
                <c:ptCount val="1"/>
                <c:pt idx="0">
                  <c:v>Audio Visual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Completed!$B$1:$K$1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Completed!$B$3:$K$3</c:f>
              <c:numCache>
                <c:formatCode>_(* #,##0_);_(* \(#,##0\);_(* "-"??_);_(@_)</c:formatCode>
                <c:ptCount val="10"/>
                <c:pt idx="0">
                  <c:v>692860</c:v>
                </c:pt>
                <c:pt idx="1">
                  <c:v>870239.99999999988</c:v>
                </c:pt>
                <c:pt idx="2">
                  <c:v>696780</c:v>
                </c:pt>
                <c:pt idx="3">
                  <c:v>853580</c:v>
                </c:pt>
                <c:pt idx="4">
                  <c:v>735980</c:v>
                </c:pt>
                <c:pt idx="5">
                  <c:v>901600</c:v>
                </c:pt>
                <c:pt idx="6">
                  <c:v>895720.00000000012</c:v>
                </c:pt>
                <c:pt idx="7">
                  <c:v>884940</c:v>
                </c:pt>
                <c:pt idx="8">
                  <c:v>784000</c:v>
                </c:pt>
                <c:pt idx="9">
                  <c:v>970200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45-4875-9EBB-E03110DFD3CC}"/>
            </c:ext>
          </c:extLst>
        </c:ser>
        <c:ser>
          <c:idx val="2"/>
          <c:order val="2"/>
          <c:tx>
            <c:strRef>
              <c:f>Completed!$A$4</c:f>
              <c:strCache>
                <c:ptCount val="1"/>
                <c:pt idx="0">
                  <c:v>Phones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Completed!$B$1:$K$1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Completed!$B$4:$K$4</c:f>
              <c:numCache>
                <c:formatCode>_(* #,##0_);_(* \(#,##0\);_(* "-"??_);_(@_)</c:formatCode>
                <c:ptCount val="10"/>
                <c:pt idx="0">
                  <c:v>1330199.9999999998</c:v>
                </c:pt>
                <c:pt idx="1">
                  <c:v>1493999.9999999998</c:v>
                </c:pt>
                <c:pt idx="2">
                  <c:v>1342800</c:v>
                </c:pt>
                <c:pt idx="3">
                  <c:v>1423799.9999999998</c:v>
                </c:pt>
                <c:pt idx="4">
                  <c:v>1405800</c:v>
                </c:pt>
                <c:pt idx="5">
                  <c:v>1638000</c:v>
                </c:pt>
                <c:pt idx="6">
                  <c:v>1782000</c:v>
                </c:pt>
                <c:pt idx="7">
                  <c:v>1618200.0000000002</c:v>
                </c:pt>
                <c:pt idx="8">
                  <c:v>1197000</c:v>
                </c:pt>
                <c:pt idx="9">
                  <c:v>1884600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45-4875-9EBB-E03110DFD3CC}"/>
            </c:ext>
          </c:extLst>
        </c:ser>
        <c:ser>
          <c:idx val="3"/>
          <c:order val="3"/>
          <c:tx>
            <c:strRef>
              <c:f>Completed!$A$5</c:f>
              <c:strCache>
                <c:ptCount val="1"/>
                <c:pt idx="0">
                  <c:v>Tablets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Completed!$B$1:$K$1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Completed!$B$5:$K$5</c:f>
              <c:numCache>
                <c:formatCode>_(* #,##0_);_(* \(#,##0\);_(* "-"??_);_(@_)</c:formatCode>
                <c:ptCount val="10"/>
                <c:pt idx="0">
                  <c:v>202720.00000000003</c:v>
                </c:pt>
                <c:pt idx="1">
                  <c:v>239119.99999999997</c:v>
                </c:pt>
                <c:pt idx="2">
                  <c:v>234079.99999999997</c:v>
                </c:pt>
                <c:pt idx="3">
                  <c:v>228479.99999999997</c:v>
                </c:pt>
                <c:pt idx="4">
                  <c:v>186760</c:v>
                </c:pt>
                <c:pt idx="5">
                  <c:v>256480</c:v>
                </c:pt>
                <c:pt idx="6">
                  <c:v>281960</c:v>
                </c:pt>
                <c:pt idx="7">
                  <c:v>293720</c:v>
                </c:pt>
                <c:pt idx="8">
                  <c:v>229040</c:v>
                </c:pt>
                <c:pt idx="9">
                  <c:v>298760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445-4875-9EBB-E03110DFD3CC}"/>
            </c:ext>
          </c:extLst>
        </c:ser>
        <c:ser>
          <c:idx val="4"/>
          <c:order val="4"/>
          <c:tx>
            <c:strRef>
              <c:f>Completed!$A$6</c:f>
              <c:strCache>
                <c:ptCount val="1"/>
                <c:pt idx="0">
                  <c:v>Personal Computers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Completed!$B$1:$K$1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Completed!$B$6:$K$6</c:f>
              <c:numCache>
                <c:formatCode>_(* #,##0_);_(* \(#,##0\);_(* "-"??_);_(@_)</c:formatCode>
                <c:ptCount val="10"/>
                <c:pt idx="0">
                  <c:v>759759</c:v>
                </c:pt>
                <c:pt idx="1">
                  <c:v>693693</c:v>
                </c:pt>
                <c:pt idx="2">
                  <c:v>786786</c:v>
                </c:pt>
                <c:pt idx="3">
                  <c:v>852852</c:v>
                </c:pt>
                <c:pt idx="4">
                  <c:v>712712</c:v>
                </c:pt>
                <c:pt idx="5">
                  <c:v>906906</c:v>
                </c:pt>
                <c:pt idx="6">
                  <c:v>1071070</c:v>
                </c:pt>
                <c:pt idx="7">
                  <c:v>1037036.0000000001</c:v>
                </c:pt>
                <c:pt idx="8">
                  <c:v>820820</c:v>
                </c:pt>
                <c:pt idx="9">
                  <c:v>972972.00000000012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445-4875-9EBB-E03110DFD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2547400"/>
        <c:axId val="672548056"/>
      </c:lineChart>
      <c:catAx>
        <c:axId val="672547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layout>
            <c:manualLayout>
              <c:xMode val="edge"/>
              <c:yMode val="edge"/>
              <c:x val="0.42807215497486806"/>
              <c:y val="0.911319663722237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548056"/>
        <c:crosses val="autoZero"/>
        <c:auto val="1"/>
        <c:lblAlgn val="ctr"/>
        <c:lblOffset val="100"/>
        <c:noMultiLvlLbl val="0"/>
      </c:catAx>
      <c:valAx>
        <c:axId val="672548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Dollars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547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InitalProjection!$A$2</c:f>
              <c:strCache>
                <c:ptCount val="1"/>
                <c:pt idx="0">
                  <c:v>Game Consoles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InitalProjection!$B$1:$K$1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InitalProjection!$B$2:$K$2</c:f>
              <c:numCache>
                <c:formatCode>_(* #,##0_);_(* \(#,##0\);_(* "-"??_);_(@_)</c:formatCode>
                <c:ptCount val="10"/>
                <c:pt idx="0">
                  <c:v>358798</c:v>
                </c:pt>
                <c:pt idx="1">
                  <c:v>423423</c:v>
                </c:pt>
                <c:pt idx="2">
                  <c:v>356213</c:v>
                </c:pt>
                <c:pt idx="3">
                  <c:v>437382</c:v>
                </c:pt>
                <c:pt idx="4">
                  <c:v>398090</c:v>
                </c:pt>
                <c:pt idx="5">
                  <c:v>455477</c:v>
                </c:pt>
                <c:pt idx="6">
                  <c:v>476674</c:v>
                </c:pt>
                <c:pt idx="7">
                  <c:v>476674</c:v>
                </c:pt>
                <c:pt idx="8">
                  <c:v>393437</c:v>
                </c:pt>
                <c:pt idx="9">
                  <c:v>496837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5F-4AD1-9B84-EF95F93B79E6}"/>
            </c:ext>
          </c:extLst>
        </c:ser>
        <c:ser>
          <c:idx val="1"/>
          <c:order val="1"/>
          <c:tx>
            <c:strRef>
              <c:f>InitalProjection!$A$3</c:f>
              <c:strCache>
                <c:ptCount val="1"/>
                <c:pt idx="0">
                  <c:v>Audio Visual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InitalProjection!$B$1:$K$1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InitalProjection!$B$3:$K$3</c:f>
              <c:numCache>
                <c:formatCode>_(* #,##0_);_(* \(#,##0\);_(* "-"??_);_(@_)</c:formatCode>
                <c:ptCount val="10"/>
                <c:pt idx="0">
                  <c:v>692860</c:v>
                </c:pt>
                <c:pt idx="1">
                  <c:v>870239.99999999988</c:v>
                </c:pt>
                <c:pt idx="2">
                  <c:v>696780</c:v>
                </c:pt>
                <c:pt idx="3">
                  <c:v>853580</c:v>
                </c:pt>
                <c:pt idx="4">
                  <c:v>735980</c:v>
                </c:pt>
                <c:pt idx="5">
                  <c:v>901600</c:v>
                </c:pt>
                <c:pt idx="6">
                  <c:v>895720.00000000012</c:v>
                </c:pt>
                <c:pt idx="7">
                  <c:v>884940</c:v>
                </c:pt>
                <c:pt idx="8">
                  <c:v>784000</c:v>
                </c:pt>
                <c:pt idx="9">
                  <c:v>970200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5F-4AD1-9B84-EF95F93B79E6}"/>
            </c:ext>
          </c:extLst>
        </c:ser>
        <c:ser>
          <c:idx val="2"/>
          <c:order val="2"/>
          <c:tx>
            <c:strRef>
              <c:f>InitalProjection!$A$4</c:f>
              <c:strCache>
                <c:ptCount val="1"/>
                <c:pt idx="0">
                  <c:v>Phones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InitalProjection!$B$1:$K$1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InitalProjection!$B$4:$K$4</c:f>
              <c:numCache>
                <c:formatCode>_(* #,##0_);_(* \(#,##0\);_(* "-"??_);_(@_)</c:formatCode>
                <c:ptCount val="10"/>
                <c:pt idx="0">
                  <c:v>1330199.9999999998</c:v>
                </c:pt>
                <c:pt idx="1">
                  <c:v>1493999.9999999998</c:v>
                </c:pt>
                <c:pt idx="2">
                  <c:v>1342800</c:v>
                </c:pt>
                <c:pt idx="3">
                  <c:v>1423799.9999999998</c:v>
                </c:pt>
                <c:pt idx="4">
                  <c:v>1405800</c:v>
                </c:pt>
                <c:pt idx="5">
                  <c:v>1638000</c:v>
                </c:pt>
                <c:pt idx="6">
                  <c:v>1782000</c:v>
                </c:pt>
                <c:pt idx="7">
                  <c:v>1618200.0000000002</c:v>
                </c:pt>
                <c:pt idx="8">
                  <c:v>1197000</c:v>
                </c:pt>
                <c:pt idx="9">
                  <c:v>1884600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5F-4AD1-9B84-EF95F93B79E6}"/>
            </c:ext>
          </c:extLst>
        </c:ser>
        <c:ser>
          <c:idx val="3"/>
          <c:order val="3"/>
          <c:tx>
            <c:strRef>
              <c:f>InitalProjection!$A$5</c:f>
              <c:strCache>
                <c:ptCount val="1"/>
                <c:pt idx="0">
                  <c:v>Tablets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InitalProjection!$B$1:$K$1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InitalProjection!$B$5:$K$5</c:f>
              <c:numCache>
                <c:formatCode>_(* #,##0_);_(* \(#,##0\);_(* "-"??_);_(@_)</c:formatCode>
                <c:ptCount val="10"/>
                <c:pt idx="0">
                  <c:v>202720.00000000003</c:v>
                </c:pt>
                <c:pt idx="1">
                  <c:v>239119.99999999997</c:v>
                </c:pt>
                <c:pt idx="2">
                  <c:v>234079.99999999997</c:v>
                </c:pt>
                <c:pt idx="3">
                  <c:v>228479.99999999997</c:v>
                </c:pt>
                <c:pt idx="4">
                  <c:v>186760</c:v>
                </c:pt>
                <c:pt idx="5">
                  <c:v>256480</c:v>
                </c:pt>
                <c:pt idx="6">
                  <c:v>281960</c:v>
                </c:pt>
                <c:pt idx="7">
                  <c:v>293720</c:v>
                </c:pt>
                <c:pt idx="8">
                  <c:v>229040</c:v>
                </c:pt>
                <c:pt idx="9">
                  <c:v>298760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85F-4AD1-9B84-EF95F93B79E6}"/>
            </c:ext>
          </c:extLst>
        </c:ser>
        <c:ser>
          <c:idx val="4"/>
          <c:order val="4"/>
          <c:tx>
            <c:strRef>
              <c:f>InitalProjection!$A$6</c:f>
              <c:strCache>
                <c:ptCount val="1"/>
                <c:pt idx="0">
                  <c:v>Personal Computers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InitalProjection!$B$1:$K$1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InitalProjection!$B$6:$K$6</c:f>
              <c:numCache>
                <c:formatCode>_(* #,##0_);_(* \(#,##0\);_(* "-"??_);_(@_)</c:formatCode>
                <c:ptCount val="10"/>
                <c:pt idx="0">
                  <c:v>759759</c:v>
                </c:pt>
                <c:pt idx="1">
                  <c:v>693693</c:v>
                </c:pt>
                <c:pt idx="2">
                  <c:v>786786</c:v>
                </c:pt>
                <c:pt idx="3">
                  <c:v>852852</c:v>
                </c:pt>
                <c:pt idx="4">
                  <c:v>712712</c:v>
                </c:pt>
                <c:pt idx="5">
                  <c:v>906906</c:v>
                </c:pt>
                <c:pt idx="6">
                  <c:v>1071070</c:v>
                </c:pt>
                <c:pt idx="7">
                  <c:v>1037036.0000000001</c:v>
                </c:pt>
                <c:pt idx="8">
                  <c:v>820820</c:v>
                </c:pt>
                <c:pt idx="9">
                  <c:v>972972.00000000012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85F-4AD1-9B84-EF95F93B79E6}"/>
            </c:ext>
          </c:extLst>
        </c:ser>
        <c:ser>
          <c:idx val="10"/>
          <c:order val="10"/>
          <c:tx>
            <c:strRef>
              <c:f>InitalProjection!$A$10</c:f>
              <c:strCache>
                <c:ptCount val="1"/>
                <c:pt idx="0">
                  <c:v>Game Consoles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InitalProjection!$B$9:$M$9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InitalProjection!$B$10:$M$10</c:f>
              <c:numCache>
                <c:formatCode>General</c:formatCode>
                <c:ptCount val="12"/>
                <c:pt idx="9" formatCode="_(* #,##0_);_(* \(#,##0\);_(* &quot;-&quot;??_);_(@_)">
                  <c:v>496837</c:v>
                </c:pt>
                <c:pt idx="10" formatCode="_(* #,##0_);_(* \(#,##0\);_(* &quot;-&quot;??_);_(@_)">
                  <c:v>613000</c:v>
                </c:pt>
                <c:pt idx="11" formatCode="_(* #,##0_);_(* \(#,##0\);_(* &quot;-&quot;??_);_(@_)">
                  <c:v>611000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85F-4AD1-9B84-EF95F93B79E6}"/>
            </c:ext>
          </c:extLst>
        </c:ser>
        <c:ser>
          <c:idx val="11"/>
          <c:order val="11"/>
          <c:tx>
            <c:strRef>
              <c:f>InitalProjection!$A$11</c:f>
              <c:strCache>
                <c:ptCount val="1"/>
                <c:pt idx="0">
                  <c:v>Audio Visual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InitalProjection!$B$9:$M$9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InitalProjection!$B$11:$M$11</c:f>
              <c:numCache>
                <c:formatCode>General</c:formatCode>
                <c:ptCount val="12"/>
                <c:pt idx="9" formatCode="_(* #,##0_);_(* \(#,##0\);_(* &quot;-&quot;??_);_(@_)">
                  <c:v>970200</c:v>
                </c:pt>
                <c:pt idx="10" formatCode="_(* #,##0_);_(* \(#,##0\);_(* &quot;-&quot;??_);_(@_)">
                  <c:v>1079000</c:v>
                </c:pt>
                <c:pt idx="11" formatCode="_(* #,##0_);_(* \(#,##0\);_(* &quot;-&quot;??_);_(@_)">
                  <c:v>1116000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85F-4AD1-9B84-EF95F93B79E6}"/>
            </c:ext>
          </c:extLst>
        </c:ser>
        <c:ser>
          <c:idx val="12"/>
          <c:order val="12"/>
          <c:tx>
            <c:strRef>
              <c:f>InitalProjection!$A$12</c:f>
              <c:strCache>
                <c:ptCount val="1"/>
                <c:pt idx="0">
                  <c:v>Phones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InitalProjection!$B$9:$M$9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InitalProjection!$B$12:$M$12</c:f>
              <c:numCache>
                <c:formatCode>General</c:formatCode>
                <c:ptCount val="12"/>
                <c:pt idx="9" formatCode="_(* #,##0_);_(* \(#,##0\);_(* &quot;-&quot;??_);_(@_)">
                  <c:v>1884600</c:v>
                </c:pt>
                <c:pt idx="10" formatCode="_(* #,##0_);_(* \(#,##0\);_(* &quot;-&quot;??_);_(@_)">
                  <c:v>2416000</c:v>
                </c:pt>
                <c:pt idx="11" formatCode="_(* #,##0_);_(* \(#,##0\);_(* &quot;-&quot;??_);_(@_)">
                  <c:v>2437000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85F-4AD1-9B84-EF95F93B79E6}"/>
            </c:ext>
          </c:extLst>
        </c:ser>
        <c:ser>
          <c:idx val="13"/>
          <c:order val="13"/>
          <c:tx>
            <c:strRef>
              <c:f>InitalProjection!$A$13</c:f>
              <c:strCache>
                <c:ptCount val="1"/>
                <c:pt idx="0">
                  <c:v>Tablets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InitalProjection!$B$9:$M$9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InitalProjection!$B$13:$M$13</c:f>
              <c:numCache>
                <c:formatCode>General</c:formatCode>
                <c:ptCount val="12"/>
                <c:pt idx="9" formatCode="_(* #,##0_);_(* \(#,##0\);_(* &quot;-&quot;??_);_(@_)">
                  <c:v>298760</c:v>
                </c:pt>
                <c:pt idx="10" formatCode="_(* #,##0_);_(* \(#,##0\);_(* &quot;-&quot;??_);_(@_)">
                  <c:v>430000</c:v>
                </c:pt>
                <c:pt idx="11" formatCode="_(* #,##0_);_(* \(#,##0\);_(* &quot;-&quot;??_);_(@_)">
                  <c:v>469000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85F-4AD1-9B84-EF95F93B79E6}"/>
            </c:ext>
          </c:extLst>
        </c:ser>
        <c:ser>
          <c:idx val="14"/>
          <c:order val="14"/>
          <c:tx>
            <c:strRef>
              <c:f>InitalProjection!$A$14</c:f>
              <c:strCache>
                <c:ptCount val="1"/>
                <c:pt idx="0">
                  <c:v>Personal Computers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InitalProjection!$B$9:$M$9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InitalProjection!$B$14:$M$14</c:f>
              <c:numCache>
                <c:formatCode>General</c:formatCode>
                <c:ptCount val="12"/>
                <c:pt idx="9" formatCode="_(* #,##0_);_(* \(#,##0\);_(* &quot;-&quot;??_);_(@_)">
                  <c:v>972972.00000000012</c:v>
                </c:pt>
                <c:pt idx="10" formatCode="_(* #,##0_);_(* \(#,##0\);_(* &quot;-&quot;??_);_(@_)">
                  <c:v>1211000</c:v>
                </c:pt>
                <c:pt idx="11" formatCode="_(* #,##0_);_(* \(#,##0\);_(* &quot;-&quot;??_);_(@_)">
                  <c:v>1394000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85F-4AD1-9B84-EF95F93B7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2547400"/>
        <c:axId val="672548056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InitalProjection!$A$10</c15:sqref>
                        </c15:formulaRef>
                      </c:ext>
                    </c:extLst>
                    <c:strCache>
                      <c:ptCount val="1"/>
                      <c:pt idx="0">
                        <c:v>Game Consoles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InitalProjection!$B$9:$M$9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InitalProjection!$B$10:$M$10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9" formatCode="_(* #,##0_);_(* \(#,##0\);_(* &quot;-&quot;??_);_(@_)">
                        <c:v>496837</c:v>
                      </c:pt>
                      <c:pt idx="10" formatCode="_(* #,##0_);_(* \(#,##0\);_(* &quot;-&quot;??_);_(@_)">
                        <c:v>613000</c:v>
                      </c:pt>
                      <c:pt idx="11" formatCode="_(* #,##0_);_(* \(#,##0\);_(* &quot;-&quot;??_);_(@_)">
                        <c:v>611000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885F-4AD1-9B84-EF95F93B79E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InitalProjection!$A$11</c15:sqref>
                        </c15:formulaRef>
                      </c:ext>
                    </c:extLst>
                    <c:strCache>
                      <c:ptCount val="1"/>
                      <c:pt idx="0">
                        <c:v>Audio Visual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InitalProjection!$B$9:$M$9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InitalProjection!$B$11:$M$11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9" formatCode="_(* #,##0_);_(* \(#,##0\);_(* &quot;-&quot;??_);_(@_)">
                        <c:v>970200</c:v>
                      </c:pt>
                      <c:pt idx="10" formatCode="_(* #,##0_);_(* \(#,##0\);_(* &quot;-&quot;??_);_(@_)">
                        <c:v>1079000</c:v>
                      </c:pt>
                      <c:pt idx="11" formatCode="_(* #,##0_);_(* \(#,##0\);_(* &quot;-&quot;??_);_(@_)">
                        <c:v>1116000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885F-4AD1-9B84-EF95F93B79E6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InitalProjection!$A$12</c15:sqref>
                        </c15:formulaRef>
                      </c:ext>
                    </c:extLst>
                    <c:strCache>
                      <c:ptCount val="1"/>
                      <c:pt idx="0">
                        <c:v>Phones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InitalProjection!$B$9:$M$9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InitalProjection!$B$12:$M$12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9" formatCode="_(* #,##0_);_(* \(#,##0\);_(* &quot;-&quot;??_);_(@_)">
                        <c:v>1884600</c:v>
                      </c:pt>
                      <c:pt idx="10" formatCode="_(* #,##0_);_(* \(#,##0\);_(* &quot;-&quot;??_);_(@_)">
                        <c:v>2416000</c:v>
                      </c:pt>
                      <c:pt idx="11" formatCode="_(* #,##0_);_(* \(#,##0\);_(* &quot;-&quot;??_);_(@_)">
                        <c:v>2437000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885F-4AD1-9B84-EF95F93B79E6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InitalProjection!$A$13</c15:sqref>
                        </c15:formulaRef>
                      </c:ext>
                    </c:extLst>
                    <c:strCache>
                      <c:ptCount val="1"/>
                      <c:pt idx="0">
                        <c:v>Tablets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InitalProjection!$B$9:$M$9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InitalProjection!$B$13:$M$13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9" formatCode="_(* #,##0_);_(* \(#,##0\);_(* &quot;-&quot;??_);_(@_)">
                        <c:v>298760</c:v>
                      </c:pt>
                      <c:pt idx="10" formatCode="_(* #,##0_);_(* \(#,##0\);_(* &quot;-&quot;??_);_(@_)">
                        <c:v>430000</c:v>
                      </c:pt>
                      <c:pt idx="11" formatCode="_(* #,##0_);_(* \(#,##0\);_(* &quot;-&quot;??_);_(@_)">
                        <c:v>469000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885F-4AD1-9B84-EF95F93B79E6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InitalProjection!$A$14</c15:sqref>
                        </c15:formulaRef>
                      </c:ext>
                    </c:extLst>
                    <c:strCache>
                      <c:ptCount val="1"/>
                      <c:pt idx="0">
                        <c:v>Personal Computers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InitalProjection!$B$9:$M$9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InitalProjection!$B$14:$M$14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9" formatCode="_(* #,##0_);_(* \(#,##0\);_(* &quot;-&quot;??_);_(@_)">
                        <c:v>972972.00000000012</c:v>
                      </c:pt>
                      <c:pt idx="10" formatCode="_(* #,##0_);_(* \(#,##0\);_(* &quot;-&quot;??_);_(@_)">
                        <c:v>1211000</c:v>
                      </c:pt>
                      <c:pt idx="11" formatCode="_(* #,##0_);_(* \(#,##0\);_(* &quot;-&quot;??_);_(@_)">
                        <c:v>1394000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885F-4AD1-9B84-EF95F93B79E6}"/>
                  </c:ext>
                </c:extLst>
              </c15:ser>
            </c15:filteredLineSeries>
          </c:ext>
        </c:extLst>
      </c:lineChart>
      <c:catAx>
        <c:axId val="672547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layout>
            <c:manualLayout>
              <c:xMode val="edge"/>
              <c:yMode val="edge"/>
              <c:x val="0.42807215497486806"/>
              <c:y val="0.911319663722237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548056"/>
        <c:crosses val="autoZero"/>
        <c:auto val="1"/>
        <c:lblAlgn val="ctr"/>
        <c:lblOffset val="100"/>
        <c:noMultiLvlLbl val="0"/>
      </c:catAx>
      <c:valAx>
        <c:axId val="672548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Dollars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547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Category</a:t>
            </a:r>
            <a:br>
              <a:rPr lang="en-US"/>
            </a:br>
            <a:r>
              <a:rPr lang="en-US"/>
              <a:t>(Dashes are Projected Amounts)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CompletedProjection!$A$2</c:f>
              <c:strCache>
                <c:ptCount val="1"/>
                <c:pt idx="0">
                  <c:v>Game Consoles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CompletedProjection!$B$1:$M$1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CompletedProjection!$B$2:$K$2</c:f>
              <c:numCache>
                <c:formatCode>_(* #,##0_);_(* \(#,##0\);_(* "-"??_);_(@_)</c:formatCode>
                <c:ptCount val="10"/>
                <c:pt idx="0">
                  <c:v>358798</c:v>
                </c:pt>
                <c:pt idx="1">
                  <c:v>423423</c:v>
                </c:pt>
                <c:pt idx="2">
                  <c:v>356213</c:v>
                </c:pt>
                <c:pt idx="3">
                  <c:v>437382</c:v>
                </c:pt>
                <c:pt idx="4">
                  <c:v>398090</c:v>
                </c:pt>
                <c:pt idx="5">
                  <c:v>455477</c:v>
                </c:pt>
                <c:pt idx="6">
                  <c:v>476674</c:v>
                </c:pt>
                <c:pt idx="7">
                  <c:v>476674</c:v>
                </c:pt>
                <c:pt idx="8">
                  <c:v>393437</c:v>
                </c:pt>
                <c:pt idx="9">
                  <c:v>496837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4B-4E0E-A1CD-592B56EAA100}"/>
            </c:ext>
          </c:extLst>
        </c:ser>
        <c:ser>
          <c:idx val="1"/>
          <c:order val="1"/>
          <c:tx>
            <c:strRef>
              <c:f>CompletedProjection!$A$3</c:f>
              <c:strCache>
                <c:ptCount val="1"/>
                <c:pt idx="0">
                  <c:v>Audio Visual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CompletedProjection!$B$1:$M$1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CompletedProjection!$B$3:$K$3</c:f>
              <c:numCache>
                <c:formatCode>_(* #,##0_);_(* \(#,##0\);_(* "-"??_);_(@_)</c:formatCode>
                <c:ptCount val="10"/>
                <c:pt idx="0">
                  <c:v>692860</c:v>
                </c:pt>
                <c:pt idx="1">
                  <c:v>870239.99999999988</c:v>
                </c:pt>
                <c:pt idx="2">
                  <c:v>696780</c:v>
                </c:pt>
                <c:pt idx="3">
                  <c:v>853580</c:v>
                </c:pt>
                <c:pt idx="4">
                  <c:v>735980</c:v>
                </c:pt>
                <c:pt idx="5">
                  <c:v>901600</c:v>
                </c:pt>
                <c:pt idx="6">
                  <c:v>895720.00000000012</c:v>
                </c:pt>
                <c:pt idx="7">
                  <c:v>884940</c:v>
                </c:pt>
                <c:pt idx="8">
                  <c:v>784000</c:v>
                </c:pt>
                <c:pt idx="9">
                  <c:v>970200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4B-4E0E-A1CD-592B56EAA100}"/>
            </c:ext>
          </c:extLst>
        </c:ser>
        <c:ser>
          <c:idx val="2"/>
          <c:order val="2"/>
          <c:tx>
            <c:strRef>
              <c:f>CompletedProjection!$A$4</c:f>
              <c:strCache>
                <c:ptCount val="1"/>
                <c:pt idx="0">
                  <c:v>Phones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CompletedProjection!$B$1:$M$1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CompletedProjection!$B$4:$K$4</c:f>
              <c:numCache>
                <c:formatCode>_(* #,##0_);_(* \(#,##0\);_(* "-"??_);_(@_)</c:formatCode>
                <c:ptCount val="10"/>
                <c:pt idx="0">
                  <c:v>1330199.9999999998</c:v>
                </c:pt>
                <c:pt idx="1">
                  <c:v>1493999.9999999998</c:v>
                </c:pt>
                <c:pt idx="2">
                  <c:v>1342800</c:v>
                </c:pt>
                <c:pt idx="3">
                  <c:v>1423799.9999999998</c:v>
                </c:pt>
                <c:pt idx="4">
                  <c:v>1405800</c:v>
                </c:pt>
                <c:pt idx="5">
                  <c:v>1638000</c:v>
                </c:pt>
                <c:pt idx="6">
                  <c:v>1782000</c:v>
                </c:pt>
                <c:pt idx="7">
                  <c:v>1618200.0000000002</c:v>
                </c:pt>
                <c:pt idx="8">
                  <c:v>1197000</c:v>
                </c:pt>
                <c:pt idx="9">
                  <c:v>1884600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4B-4E0E-A1CD-592B56EAA100}"/>
            </c:ext>
          </c:extLst>
        </c:ser>
        <c:ser>
          <c:idx val="3"/>
          <c:order val="3"/>
          <c:tx>
            <c:strRef>
              <c:f>CompletedProjection!$A$5</c:f>
              <c:strCache>
                <c:ptCount val="1"/>
                <c:pt idx="0">
                  <c:v>Tablets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CompletedProjection!$B$1:$M$1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CompletedProjection!$B$5:$K$5</c:f>
              <c:numCache>
                <c:formatCode>_(* #,##0_);_(* \(#,##0\);_(* "-"??_);_(@_)</c:formatCode>
                <c:ptCount val="10"/>
                <c:pt idx="0">
                  <c:v>202720.00000000003</c:v>
                </c:pt>
                <c:pt idx="1">
                  <c:v>239119.99999999997</c:v>
                </c:pt>
                <c:pt idx="2">
                  <c:v>234079.99999999997</c:v>
                </c:pt>
                <c:pt idx="3">
                  <c:v>228479.99999999997</c:v>
                </c:pt>
                <c:pt idx="4">
                  <c:v>186760</c:v>
                </c:pt>
                <c:pt idx="5">
                  <c:v>256480</c:v>
                </c:pt>
                <c:pt idx="6">
                  <c:v>281960</c:v>
                </c:pt>
                <c:pt idx="7">
                  <c:v>293720</c:v>
                </c:pt>
                <c:pt idx="8">
                  <c:v>229040</c:v>
                </c:pt>
                <c:pt idx="9">
                  <c:v>298760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B4B-4E0E-A1CD-592B56EAA100}"/>
            </c:ext>
          </c:extLst>
        </c:ser>
        <c:ser>
          <c:idx val="4"/>
          <c:order val="4"/>
          <c:tx>
            <c:strRef>
              <c:f>CompletedProjection!$A$6</c:f>
              <c:strCache>
                <c:ptCount val="1"/>
                <c:pt idx="0">
                  <c:v>Personal Computers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CompletedProjection!$B$1:$M$1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CompletedProjection!$B$6:$K$6</c:f>
              <c:numCache>
                <c:formatCode>_(* #,##0_);_(* \(#,##0\);_(* "-"??_);_(@_)</c:formatCode>
                <c:ptCount val="10"/>
                <c:pt idx="0">
                  <c:v>759759</c:v>
                </c:pt>
                <c:pt idx="1">
                  <c:v>693693</c:v>
                </c:pt>
                <c:pt idx="2">
                  <c:v>786786</c:v>
                </c:pt>
                <c:pt idx="3">
                  <c:v>852852</c:v>
                </c:pt>
                <c:pt idx="4">
                  <c:v>712712</c:v>
                </c:pt>
                <c:pt idx="5">
                  <c:v>906906</c:v>
                </c:pt>
                <c:pt idx="6">
                  <c:v>1071070</c:v>
                </c:pt>
                <c:pt idx="7">
                  <c:v>1037036.0000000001</c:v>
                </c:pt>
                <c:pt idx="8">
                  <c:v>820820</c:v>
                </c:pt>
                <c:pt idx="9">
                  <c:v>972972.00000000012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B4B-4E0E-A1CD-592B56EAA100}"/>
            </c:ext>
          </c:extLst>
        </c:ser>
        <c:ser>
          <c:idx val="10"/>
          <c:order val="10"/>
          <c:tx>
            <c:strRef>
              <c:f>CompletedProjection!$A$10</c:f>
              <c:strCache>
                <c:ptCount val="1"/>
                <c:pt idx="0">
                  <c:v>Game Consoles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CompletedProjection!$B$1:$M$1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CompletedProjection!$B$10:$M$10</c:f>
              <c:numCache>
                <c:formatCode>General</c:formatCode>
                <c:ptCount val="12"/>
                <c:pt idx="9" formatCode="_(* #,##0_);_(* \(#,##0\);_(* &quot;-&quot;??_);_(@_)">
                  <c:v>496837</c:v>
                </c:pt>
                <c:pt idx="10" formatCode="_(* #,##0_);_(* \(#,##0\);_(* &quot;-&quot;??_);_(@_)">
                  <c:v>613000</c:v>
                </c:pt>
                <c:pt idx="11" formatCode="_(* #,##0_);_(* \(#,##0\);_(* &quot;-&quot;??_);_(@_)">
                  <c:v>611000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CEB-453C-B31A-82671DA8DAA6}"/>
            </c:ext>
          </c:extLst>
        </c:ser>
        <c:ser>
          <c:idx val="11"/>
          <c:order val="11"/>
          <c:tx>
            <c:strRef>
              <c:f>CompletedProjection!$A$11</c:f>
              <c:strCache>
                <c:ptCount val="1"/>
                <c:pt idx="0">
                  <c:v>Audio Visual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CompletedProjection!$B$1:$M$1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CompletedProjection!$B$11:$M$11</c:f>
              <c:numCache>
                <c:formatCode>General</c:formatCode>
                <c:ptCount val="12"/>
                <c:pt idx="9" formatCode="_(* #,##0_);_(* \(#,##0\);_(* &quot;-&quot;??_);_(@_)">
                  <c:v>970200</c:v>
                </c:pt>
                <c:pt idx="10" formatCode="_(* #,##0_);_(* \(#,##0\);_(* &quot;-&quot;??_);_(@_)">
                  <c:v>1079000</c:v>
                </c:pt>
                <c:pt idx="11" formatCode="_(* #,##0_);_(* \(#,##0\);_(* &quot;-&quot;??_);_(@_)">
                  <c:v>1116000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CEB-453C-B31A-82671DA8DAA6}"/>
            </c:ext>
          </c:extLst>
        </c:ser>
        <c:ser>
          <c:idx val="12"/>
          <c:order val="12"/>
          <c:tx>
            <c:strRef>
              <c:f>CompletedProjection!$A$12</c:f>
              <c:strCache>
                <c:ptCount val="1"/>
                <c:pt idx="0">
                  <c:v>Phones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CompletedProjection!$B$1:$M$1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CompletedProjection!$B$12:$M$12</c:f>
              <c:numCache>
                <c:formatCode>General</c:formatCode>
                <c:ptCount val="12"/>
                <c:pt idx="9" formatCode="_(* #,##0_);_(* \(#,##0\);_(* &quot;-&quot;??_);_(@_)">
                  <c:v>1884600</c:v>
                </c:pt>
                <c:pt idx="10" formatCode="_(* #,##0_);_(* \(#,##0\);_(* &quot;-&quot;??_);_(@_)">
                  <c:v>2416000</c:v>
                </c:pt>
                <c:pt idx="11" formatCode="_(* #,##0_);_(* \(#,##0\);_(* &quot;-&quot;??_);_(@_)">
                  <c:v>2437000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CEB-453C-B31A-82671DA8DAA6}"/>
            </c:ext>
          </c:extLst>
        </c:ser>
        <c:ser>
          <c:idx val="13"/>
          <c:order val="13"/>
          <c:tx>
            <c:strRef>
              <c:f>CompletedProjection!$A$13</c:f>
              <c:strCache>
                <c:ptCount val="1"/>
                <c:pt idx="0">
                  <c:v>Tablets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CompletedProjection!$B$1:$M$1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CompletedProjection!$B$13:$M$13</c:f>
              <c:numCache>
                <c:formatCode>General</c:formatCode>
                <c:ptCount val="12"/>
                <c:pt idx="9" formatCode="_(* #,##0_);_(* \(#,##0\);_(* &quot;-&quot;??_);_(@_)">
                  <c:v>298760</c:v>
                </c:pt>
                <c:pt idx="10" formatCode="_(* #,##0_);_(* \(#,##0\);_(* &quot;-&quot;??_);_(@_)">
                  <c:v>430000</c:v>
                </c:pt>
                <c:pt idx="11" formatCode="_(* #,##0_);_(* \(#,##0\);_(* &quot;-&quot;??_);_(@_)">
                  <c:v>469000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CEB-453C-B31A-82671DA8DAA6}"/>
            </c:ext>
          </c:extLst>
        </c:ser>
        <c:ser>
          <c:idx val="14"/>
          <c:order val="14"/>
          <c:tx>
            <c:strRef>
              <c:f>CompletedProjection!$A$14</c:f>
              <c:strCache>
                <c:ptCount val="1"/>
                <c:pt idx="0">
                  <c:v>Personal Computers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CompletedProjection!$B$1:$M$1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CompletedProjection!$B$14:$M$14</c:f>
              <c:numCache>
                <c:formatCode>General</c:formatCode>
                <c:ptCount val="12"/>
                <c:pt idx="9" formatCode="_(* #,##0_);_(* \(#,##0\);_(* &quot;-&quot;??_);_(@_)">
                  <c:v>972972.00000000012</c:v>
                </c:pt>
                <c:pt idx="10" formatCode="_(* #,##0_);_(* \(#,##0\);_(* &quot;-&quot;??_);_(@_)">
                  <c:v>1211000</c:v>
                </c:pt>
                <c:pt idx="11" formatCode="_(* #,##0_);_(* \(#,##0\);_(* &quot;-&quot;??_);_(@_)">
                  <c:v>1394000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CEB-453C-B31A-82671DA8D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2547400"/>
        <c:axId val="672548056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CompletedProjection!$A$10</c15:sqref>
                        </c15:formulaRef>
                      </c:ext>
                    </c:extLst>
                    <c:strCache>
                      <c:ptCount val="1"/>
                      <c:pt idx="0">
                        <c:v>Game Consoles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CompletedProjection!$B$1:$M$1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CompletedProjection!$B$10:$M$10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9" formatCode="_(* #,##0_);_(* \(#,##0\);_(* &quot;-&quot;??_);_(@_)">
                        <c:v>496837</c:v>
                      </c:pt>
                      <c:pt idx="10" formatCode="_(* #,##0_);_(* \(#,##0\);_(* &quot;-&quot;??_);_(@_)">
                        <c:v>613000</c:v>
                      </c:pt>
                      <c:pt idx="11" formatCode="_(* #,##0_);_(* \(#,##0\);_(* &quot;-&quot;??_);_(@_)">
                        <c:v>611000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E-AB4B-4E0E-A1CD-592B56EAA10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CompletedProjection!$A$11</c15:sqref>
                        </c15:formulaRef>
                      </c:ext>
                    </c:extLst>
                    <c:strCache>
                      <c:ptCount val="1"/>
                      <c:pt idx="0">
                        <c:v>Audio Visual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CompletedProjection!$B$1:$M$1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CompletedProjection!$B$11:$M$11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9" formatCode="_(* #,##0_);_(* \(#,##0\);_(* &quot;-&quot;??_);_(@_)">
                        <c:v>970200</c:v>
                      </c:pt>
                      <c:pt idx="10" formatCode="_(* #,##0_);_(* \(#,##0\);_(* &quot;-&quot;??_);_(@_)">
                        <c:v>1079000</c:v>
                      </c:pt>
                      <c:pt idx="11" formatCode="_(* #,##0_);_(* \(#,##0\);_(* &quot;-&quot;??_);_(@_)">
                        <c:v>1116000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AB4B-4E0E-A1CD-592B56EAA100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CompletedProjection!$A$12</c15:sqref>
                        </c15:formulaRef>
                      </c:ext>
                    </c:extLst>
                    <c:strCache>
                      <c:ptCount val="1"/>
                      <c:pt idx="0">
                        <c:v>Phones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CompletedProjection!$B$1:$M$1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CompletedProjection!$B$12:$M$12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9" formatCode="_(* #,##0_);_(* \(#,##0\);_(* &quot;-&quot;??_);_(@_)">
                        <c:v>1884600</c:v>
                      </c:pt>
                      <c:pt idx="10" formatCode="_(* #,##0_);_(* \(#,##0\);_(* &quot;-&quot;??_);_(@_)">
                        <c:v>2416000</c:v>
                      </c:pt>
                      <c:pt idx="11" formatCode="_(* #,##0_);_(* \(#,##0\);_(* &quot;-&quot;??_);_(@_)">
                        <c:v>2437000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0-AB4B-4E0E-A1CD-592B56EAA100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CompletedProjection!$A$13</c15:sqref>
                        </c15:formulaRef>
                      </c:ext>
                    </c:extLst>
                    <c:strCache>
                      <c:ptCount val="1"/>
                      <c:pt idx="0">
                        <c:v>Tablets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CompletedProjection!$B$1:$M$1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CompletedProjection!$B$13:$M$13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9" formatCode="_(* #,##0_);_(* \(#,##0\);_(* &quot;-&quot;??_);_(@_)">
                        <c:v>298760</c:v>
                      </c:pt>
                      <c:pt idx="10" formatCode="_(* #,##0_);_(* \(#,##0\);_(* &quot;-&quot;??_);_(@_)">
                        <c:v>430000</c:v>
                      </c:pt>
                      <c:pt idx="11" formatCode="_(* #,##0_);_(* \(#,##0\);_(* &quot;-&quot;??_);_(@_)">
                        <c:v>469000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1-AB4B-4E0E-A1CD-592B56EAA100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CompletedProjection!$A$14</c15:sqref>
                        </c15:formulaRef>
                      </c:ext>
                    </c:extLst>
                    <c:strCache>
                      <c:ptCount val="1"/>
                      <c:pt idx="0">
                        <c:v>Personal Computers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CompletedProjection!$B$1:$M$1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CompletedProjection!$B$14:$M$14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9" formatCode="_(* #,##0_);_(* \(#,##0\);_(* &quot;-&quot;??_);_(@_)">
                        <c:v>972972.00000000012</c:v>
                      </c:pt>
                      <c:pt idx="10" formatCode="_(* #,##0_);_(* \(#,##0\);_(* &quot;-&quot;??_);_(@_)">
                        <c:v>1211000</c:v>
                      </c:pt>
                      <c:pt idx="11" formatCode="_(* #,##0_);_(* \(#,##0\);_(* &quot;-&quot;??_);_(@_)">
                        <c:v>1394000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AB4B-4E0E-A1CD-592B56EAA100}"/>
                  </c:ext>
                </c:extLst>
              </c15:ser>
            </c15:filteredLineSeries>
          </c:ext>
        </c:extLst>
      </c:lineChart>
      <c:catAx>
        <c:axId val="672547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layout>
            <c:manualLayout>
              <c:xMode val="edge"/>
              <c:yMode val="edge"/>
              <c:x val="0.42807215497486806"/>
              <c:y val="0.911319663722237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548056"/>
        <c:crosses val="autoZero"/>
        <c:auto val="1"/>
        <c:lblAlgn val="ctr"/>
        <c:lblOffset val="100"/>
        <c:noMultiLvlLbl val="0"/>
      </c:catAx>
      <c:valAx>
        <c:axId val="672548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Dollars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547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485774</xdr:colOff>
      <xdr:row>13</xdr:row>
      <xdr:rowOff>95250</xdr:rowOff>
    </xdr:from>
    <xdr:to>
      <xdr:col>18</xdr:col>
      <xdr:colOff>152399</xdr:colOff>
      <xdr:row>33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DF59E3-69DF-4020-8284-14EA21E5A9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628650</xdr:colOff>
      <xdr:row>13</xdr:row>
      <xdr:rowOff>95250</xdr:rowOff>
    </xdr:from>
    <xdr:to>
      <xdr:col>18</xdr:col>
      <xdr:colOff>152399</xdr:colOff>
      <xdr:row>33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06F04F-7A24-4AFE-98B9-A17F00BE7A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23</xdr:row>
      <xdr:rowOff>142875</xdr:rowOff>
    </xdr:from>
    <xdr:to>
      <xdr:col>16</xdr:col>
      <xdr:colOff>114299</xdr:colOff>
      <xdr:row>43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17725B-D161-415B-ADCB-C6A8986503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23</xdr:row>
      <xdr:rowOff>142875</xdr:rowOff>
    </xdr:from>
    <xdr:to>
      <xdr:col>16</xdr:col>
      <xdr:colOff>114299</xdr:colOff>
      <xdr:row>43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9CA1AD-DCAC-420F-A65D-544B4C3C26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DA2AD-7974-4091-923D-0410A29B7A40}">
  <sheetPr codeName="Sheet1"/>
  <dimension ref="A1:K6"/>
  <sheetViews>
    <sheetView workbookViewId="0">
      <selection activeCell="P12" sqref="P12"/>
    </sheetView>
  </sheetViews>
  <sheetFormatPr defaultRowHeight="15" x14ac:dyDescent="0.25"/>
  <cols>
    <col min="1" max="1" width="19.140625" bestFit="1" customWidth="1"/>
    <col min="2" max="11" width="10.5703125" bestFit="1" customWidth="1"/>
  </cols>
  <sheetData>
    <row r="1" spans="1:11" x14ac:dyDescent="0.25"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</row>
    <row r="2" spans="1:11" x14ac:dyDescent="0.25">
      <c r="A2" t="s">
        <v>1</v>
      </c>
      <c r="B2" s="1">
        <v>358798</v>
      </c>
      <c r="C2" s="1">
        <v>423423</v>
      </c>
      <c r="D2" s="1">
        <v>356213</v>
      </c>
      <c r="E2" s="1">
        <v>437382</v>
      </c>
      <c r="F2" s="1">
        <v>398090</v>
      </c>
      <c r="G2" s="1">
        <v>455477</v>
      </c>
      <c r="H2" s="1">
        <v>476674</v>
      </c>
      <c r="I2" s="1">
        <v>476674</v>
      </c>
      <c r="J2" s="1">
        <v>393437</v>
      </c>
      <c r="K2" s="1">
        <v>496837</v>
      </c>
    </row>
    <row r="3" spans="1:11" x14ac:dyDescent="0.25">
      <c r="A3" t="s">
        <v>2</v>
      </c>
      <c r="B3" s="1">
        <v>692860</v>
      </c>
      <c r="C3" s="1">
        <v>870239.99999999988</v>
      </c>
      <c r="D3" s="1">
        <v>696780</v>
      </c>
      <c r="E3" s="1">
        <v>853580</v>
      </c>
      <c r="F3" s="1">
        <v>735980</v>
      </c>
      <c r="G3" s="1">
        <v>901600</v>
      </c>
      <c r="H3" s="1">
        <v>895720.00000000012</v>
      </c>
      <c r="I3" s="1">
        <v>884940</v>
      </c>
      <c r="J3" s="1">
        <v>784000</v>
      </c>
      <c r="K3" s="1">
        <v>970200</v>
      </c>
    </row>
    <row r="4" spans="1:11" x14ac:dyDescent="0.25">
      <c r="A4" t="s">
        <v>3</v>
      </c>
      <c r="B4" s="1">
        <v>1330199.9999999998</v>
      </c>
      <c r="C4" s="1">
        <v>1493999.9999999998</v>
      </c>
      <c r="D4" s="1">
        <v>1342800</v>
      </c>
      <c r="E4" s="1">
        <v>1423799.9999999998</v>
      </c>
      <c r="F4" s="1">
        <v>1405800</v>
      </c>
      <c r="G4" s="1">
        <v>1638000</v>
      </c>
      <c r="H4" s="1">
        <v>1782000</v>
      </c>
      <c r="I4" s="1">
        <v>1618200.0000000002</v>
      </c>
      <c r="J4" s="1">
        <v>1197000</v>
      </c>
      <c r="K4" s="1">
        <v>1884600</v>
      </c>
    </row>
    <row r="5" spans="1:11" x14ac:dyDescent="0.25">
      <c r="A5" t="s">
        <v>5</v>
      </c>
      <c r="B5" s="1">
        <v>202720.00000000003</v>
      </c>
      <c r="C5" s="1">
        <v>239119.99999999997</v>
      </c>
      <c r="D5" s="1">
        <v>234079.99999999997</v>
      </c>
      <c r="E5" s="1">
        <v>228479.99999999997</v>
      </c>
      <c r="F5" s="1">
        <v>186760</v>
      </c>
      <c r="G5" s="1">
        <v>256480</v>
      </c>
      <c r="H5" s="1">
        <v>281960</v>
      </c>
      <c r="I5" s="1">
        <v>293720</v>
      </c>
      <c r="J5" s="1">
        <v>229040</v>
      </c>
      <c r="K5" s="1">
        <v>298760</v>
      </c>
    </row>
    <row r="6" spans="1:11" x14ac:dyDescent="0.25">
      <c r="A6" t="s">
        <v>4</v>
      </c>
      <c r="B6" s="1">
        <v>759759</v>
      </c>
      <c r="C6" s="1">
        <v>693693</v>
      </c>
      <c r="D6" s="1">
        <v>786786</v>
      </c>
      <c r="E6" s="1">
        <v>852852</v>
      </c>
      <c r="F6" s="1">
        <v>712712</v>
      </c>
      <c r="G6" s="1">
        <v>906906</v>
      </c>
      <c r="H6" s="1">
        <v>1071070</v>
      </c>
      <c r="I6" s="1">
        <v>1037036.0000000001</v>
      </c>
      <c r="J6" s="1">
        <v>820820</v>
      </c>
      <c r="K6" s="1">
        <v>972972.00000000012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451CF-0FAC-4D2F-A3C8-5DA3845E3587}">
  <sheetPr codeName="Sheet2"/>
  <dimension ref="A1:K6"/>
  <sheetViews>
    <sheetView workbookViewId="0">
      <selection activeCell="X21" sqref="X21"/>
    </sheetView>
  </sheetViews>
  <sheetFormatPr defaultRowHeight="15" x14ac:dyDescent="0.25"/>
  <cols>
    <col min="1" max="1" width="19.140625" bestFit="1" customWidth="1"/>
    <col min="2" max="11" width="10.5703125" bestFit="1" customWidth="1"/>
  </cols>
  <sheetData>
    <row r="1" spans="1:11" x14ac:dyDescent="0.25"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</row>
    <row r="2" spans="1:11" x14ac:dyDescent="0.25">
      <c r="A2" t="s">
        <v>1</v>
      </c>
      <c r="B2" s="1">
        <v>358798</v>
      </c>
      <c r="C2" s="1">
        <v>423423</v>
      </c>
      <c r="D2" s="1">
        <v>356213</v>
      </c>
      <c r="E2" s="1">
        <v>437382</v>
      </c>
      <c r="F2" s="1">
        <v>398090</v>
      </c>
      <c r="G2" s="1">
        <v>455477</v>
      </c>
      <c r="H2" s="1">
        <v>476674</v>
      </c>
      <c r="I2" s="1">
        <v>476674</v>
      </c>
      <c r="J2" s="1">
        <v>393437</v>
      </c>
      <c r="K2" s="1">
        <v>496837</v>
      </c>
    </row>
    <row r="3" spans="1:11" x14ac:dyDescent="0.25">
      <c r="A3" t="s">
        <v>2</v>
      </c>
      <c r="B3" s="1">
        <v>692860</v>
      </c>
      <c r="C3" s="1">
        <v>870239.99999999988</v>
      </c>
      <c r="D3" s="1">
        <v>696780</v>
      </c>
      <c r="E3" s="1">
        <v>853580</v>
      </c>
      <c r="F3" s="1">
        <v>735980</v>
      </c>
      <c r="G3" s="1">
        <v>901600</v>
      </c>
      <c r="H3" s="1">
        <v>895720.00000000012</v>
      </c>
      <c r="I3" s="1">
        <v>884940</v>
      </c>
      <c r="J3" s="1">
        <v>784000</v>
      </c>
      <c r="K3" s="1">
        <v>970200</v>
      </c>
    </row>
    <row r="4" spans="1:11" x14ac:dyDescent="0.25">
      <c r="A4" t="s">
        <v>3</v>
      </c>
      <c r="B4" s="1">
        <v>1330199.9999999998</v>
      </c>
      <c r="C4" s="1">
        <v>1493999.9999999998</v>
      </c>
      <c r="D4" s="1">
        <v>1342800</v>
      </c>
      <c r="E4" s="1">
        <v>1423799.9999999998</v>
      </c>
      <c r="F4" s="1">
        <v>1405800</v>
      </c>
      <c r="G4" s="1">
        <v>1638000</v>
      </c>
      <c r="H4" s="1">
        <v>1782000</v>
      </c>
      <c r="I4" s="1">
        <v>1618200.0000000002</v>
      </c>
      <c r="J4" s="1">
        <v>1197000</v>
      </c>
      <c r="K4" s="1">
        <v>1884600</v>
      </c>
    </row>
    <row r="5" spans="1:11" x14ac:dyDescent="0.25">
      <c r="A5" t="s">
        <v>5</v>
      </c>
      <c r="B5" s="1">
        <v>202720.00000000003</v>
      </c>
      <c r="C5" s="1">
        <v>239119.99999999997</v>
      </c>
      <c r="D5" s="1">
        <v>234079.99999999997</v>
      </c>
      <c r="E5" s="1">
        <v>228479.99999999997</v>
      </c>
      <c r="F5" s="1">
        <v>186760</v>
      </c>
      <c r="G5" s="1">
        <v>256480</v>
      </c>
      <c r="H5" s="1">
        <v>281960</v>
      </c>
      <c r="I5" s="1">
        <v>293720</v>
      </c>
      <c r="J5" s="1">
        <v>229040</v>
      </c>
      <c r="K5" s="1">
        <v>298760</v>
      </c>
    </row>
    <row r="6" spans="1:11" x14ac:dyDescent="0.25">
      <c r="A6" t="s">
        <v>4</v>
      </c>
      <c r="B6" s="1">
        <v>759759</v>
      </c>
      <c r="C6" s="1">
        <v>693693</v>
      </c>
      <c r="D6" s="1">
        <v>786786</v>
      </c>
      <c r="E6" s="1">
        <v>852852</v>
      </c>
      <c r="F6" s="1">
        <v>712712</v>
      </c>
      <c r="G6" s="1">
        <v>906906</v>
      </c>
      <c r="H6" s="1">
        <v>1071070</v>
      </c>
      <c r="I6" s="1">
        <v>1037036.0000000001</v>
      </c>
      <c r="J6" s="1">
        <v>820820</v>
      </c>
      <c r="K6" s="1">
        <v>972972.00000000012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7024A-004F-4B93-B412-D4951CECBF77}">
  <sheetPr codeName="Sheet4"/>
  <dimension ref="A1:M23"/>
  <sheetViews>
    <sheetView topLeftCell="A9" workbookViewId="0">
      <selection activeCell="V30" sqref="V30"/>
    </sheetView>
  </sheetViews>
  <sheetFormatPr defaultRowHeight="15" x14ac:dyDescent="0.25"/>
  <cols>
    <col min="1" max="1" width="19.140625" bestFit="1" customWidth="1"/>
    <col min="2" max="13" width="10.5703125" bestFit="1" customWidth="1"/>
  </cols>
  <sheetData>
    <row r="1" spans="1:13" x14ac:dyDescent="0.25">
      <c r="A1" s="4" t="s">
        <v>7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x14ac:dyDescent="0.25">
      <c r="A2" t="s">
        <v>1</v>
      </c>
      <c r="B2" s="1">
        <v>358798</v>
      </c>
      <c r="C2" s="1">
        <v>423423</v>
      </c>
      <c r="D2" s="1">
        <v>356213</v>
      </c>
      <c r="E2" s="1">
        <v>437382</v>
      </c>
      <c r="F2" s="1">
        <v>398090</v>
      </c>
      <c r="G2" s="1">
        <v>455477</v>
      </c>
      <c r="H2" s="1">
        <v>476674</v>
      </c>
      <c r="I2" s="1">
        <v>476674</v>
      </c>
      <c r="J2" s="1">
        <v>393437</v>
      </c>
      <c r="K2" s="1">
        <v>496837</v>
      </c>
      <c r="L2" s="1"/>
      <c r="M2" s="1"/>
    </row>
    <row r="3" spans="1:13" x14ac:dyDescent="0.25">
      <c r="A3" t="s">
        <v>2</v>
      </c>
      <c r="B3" s="1">
        <v>692860</v>
      </c>
      <c r="C3" s="1">
        <v>870239.99999999988</v>
      </c>
      <c r="D3" s="1">
        <v>696780</v>
      </c>
      <c r="E3" s="1">
        <v>853580</v>
      </c>
      <c r="F3" s="1">
        <v>735980</v>
      </c>
      <c r="G3" s="1">
        <v>901600</v>
      </c>
      <c r="H3" s="1">
        <v>895720.00000000012</v>
      </c>
      <c r="I3" s="1">
        <v>884940</v>
      </c>
      <c r="J3" s="1">
        <v>784000</v>
      </c>
      <c r="K3" s="1">
        <v>970200</v>
      </c>
      <c r="L3" s="1"/>
      <c r="M3" s="1"/>
    </row>
    <row r="4" spans="1:13" x14ac:dyDescent="0.25">
      <c r="A4" t="s">
        <v>3</v>
      </c>
      <c r="B4" s="1">
        <v>1330199.9999999998</v>
      </c>
      <c r="C4" s="1">
        <v>1493999.9999999998</v>
      </c>
      <c r="D4" s="1">
        <v>1342800</v>
      </c>
      <c r="E4" s="1">
        <v>1423799.9999999998</v>
      </c>
      <c r="F4" s="1">
        <v>1405800</v>
      </c>
      <c r="G4" s="1">
        <v>1638000</v>
      </c>
      <c r="H4" s="1">
        <v>1782000</v>
      </c>
      <c r="I4" s="1">
        <v>1618200.0000000002</v>
      </c>
      <c r="J4" s="1">
        <v>1197000</v>
      </c>
      <c r="K4" s="1">
        <v>1884600</v>
      </c>
      <c r="L4" s="1"/>
      <c r="M4" s="1"/>
    </row>
    <row r="5" spans="1:13" x14ac:dyDescent="0.25">
      <c r="A5" t="s">
        <v>5</v>
      </c>
      <c r="B5" s="1">
        <v>202720.00000000003</v>
      </c>
      <c r="C5" s="1">
        <v>239119.99999999997</v>
      </c>
      <c r="D5" s="1">
        <v>234079.99999999997</v>
      </c>
      <c r="E5" s="1">
        <v>228479.99999999997</v>
      </c>
      <c r="F5" s="1">
        <v>186760</v>
      </c>
      <c r="G5" s="1">
        <v>256480</v>
      </c>
      <c r="H5" s="1">
        <v>281960</v>
      </c>
      <c r="I5" s="1">
        <v>293720</v>
      </c>
      <c r="J5" s="1">
        <v>229040</v>
      </c>
      <c r="K5" s="1">
        <v>298760</v>
      </c>
      <c r="L5" s="1"/>
      <c r="M5" s="1"/>
    </row>
    <row r="6" spans="1:13" x14ac:dyDescent="0.25">
      <c r="A6" t="s">
        <v>4</v>
      </c>
      <c r="B6" s="1">
        <v>759759</v>
      </c>
      <c r="C6" s="1">
        <v>693693</v>
      </c>
      <c r="D6" s="1">
        <v>786786</v>
      </c>
      <c r="E6" s="1">
        <v>852852</v>
      </c>
      <c r="F6" s="1">
        <v>712712</v>
      </c>
      <c r="G6" s="1">
        <v>906906</v>
      </c>
      <c r="H6" s="1">
        <v>1071070</v>
      </c>
      <c r="I6" s="1">
        <v>1037036.0000000001</v>
      </c>
      <c r="J6" s="1">
        <v>820820</v>
      </c>
      <c r="K6" s="1">
        <v>972972.00000000012</v>
      </c>
      <c r="L6" s="1"/>
      <c r="M6" s="1"/>
    </row>
    <row r="7" spans="1:13" x14ac:dyDescent="0.2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2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25">
      <c r="A9" s="4" t="s">
        <v>6</v>
      </c>
      <c r="B9" s="2">
        <f>B1</f>
        <v>1</v>
      </c>
      <c r="C9" s="2">
        <f t="shared" ref="C9:M9" si="0">C1</f>
        <v>2</v>
      </c>
      <c r="D9" s="2">
        <f t="shared" si="0"/>
        <v>3</v>
      </c>
      <c r="E9" s="2">
        <f t="shared" si="0"/>
        <v>4</v>
      </c>
      <c r="F9" s="2">
        <f t="shared" si="0"/>
        <v>5</v>
      </c>
      <c r="G9" s="2">
        <f t="shared" si="0"/>
        <v>6</v>
      </c>
      <c r="H9" s="2">
        <f t="shared" si="0"/>
        <v>7</v>
      </c>
      <c r="I9" s="2">
        <f t="shared" si="0"/>
        <v>8</v>
      </c>
      <c r="J9" s="2">
        <f t="shared" si="0"/>
        <v>9</v>
      </c>
      <c r="K9" s="2">
        <f t="shared" si="0"/>
        <v>10</v>
      </c>
      <c r="L9" s="2">
        <f t="shared" si="0"/>
        <v>11</v>
      </c>
      <c r="M9" s="2">
        <f t="shared" si="0"/>
        <v>12</v>
      </c>
    </row>
    <row r="10" spans="1:13" x14ac:dyDescent="0.25">
      <c r="A10" t="s">
        <v>1</v>
      </c>
      <c r="K10" s="3">
        <f>K2</f>
        <v>496837</v>
      </c>
      <c r="L10" s="1">
        <f>ROUND(TREND($B2:$K2,$B19:$K19,L19),-3)</f>
        <v>613000</v>
      </c>
      <c r="M10" s="1">
        <f>ROUND(TREND($B2:$K2,$B19:$K19,M19),-3)</f>
        <v>611000</v>
      </c>
    </row>
    <row r="11" spans="1:13" x14ac:dyDescent="0.25">
      <c r="A11" t="s">
        <v>2</v>
      </c>
      <c r="K11" s="3">
        <f>K3</f>
        <v>970200</v>
      </c>
      <c r="L11" s="1">
        <f t="shared" ref="L11:M14" si="1">ROUND(TREND($B3:$K3,$B20:$K20,L20),-3)</f>
        <v>1079000</v>
      </c>
      <c r="M11" s="1">
        <f t="shared" si="1"/>
        <v>1116000</v>
      </c>
    </row>
    <row r="12" spans="1:13" x14ac:dyDescent="0.25">
      <c r="A12" t="s">
        <v>3</v>
      </c>
      <c r="K12" s="3">
        <f>K4</f>
        <v>1884600</v>
      </c>
      <c r="L12" s="1">
        <f t="shared" si="1"/>
        <v>2416000</v>
      </c>
      <c r="M12" s="1">
        <f t="shared" si="1"/>
        <v>2437000</v>
      </c>
    </row>
    <row r="13" spans="1:13" x14ac:dyDescent="0.25">
      <c r="A13" t="s">
        <v>5</v>
      </c>
      <c r="K13" s="3">
        <f>K5</f>
        <v>298760</v>
      </c>
      <c r="L13" s="1">
        <f t="shared" si="1"/>
        <v>430000</v>
      </c>
      <c r="M13" s="1">
        <f t="shared" si="1"/>
        <v>469000</v>
      </c>
    </row>
    <row r="14" spans="1:13" x14ac:dyDescent="0.25">
      <c r="A14" t="s">
        <v>4</v>
      </c>
      <c r="K14" s="3">
        <f>K6</f>
        <v>972972.00000000012</v>
      </c>
      <c r="L14" s="1">
        <f t="shared" si="1"/>
        <v>1211000</v>
      </c>
      <c r="M14" s="1">
        <f t="shared" si="1"/>
        <v>1394000</v>
      </c>
    </row>
    <row r="17" spans="1:13" x14ac:dyDescent="0.25">
      <c r="A17" s="4" t="s">
        <v>8</v>
      </c>
    </row>
    <row r="18" spans="1:13" x14ac:dyDescent="0.25">
      <c r="A18" t="s">
        <v>0</v>
      </c>
      <c r="B18" s="2">
        <v>1</v>
      </c>
      <c r="C18" s="2">
        <v>2</v>
      </c>
      <c r="D18" s="2">
        <v>3</v>
      </c>
      <c r="E18" s="2">
        <v>4</v>
      </c>
      <c r="F18" s="2">
        <v>5</v>
      </c>
      <c r="G18" s="2">
        <v>6</v>
      </c>
      <c r="H18" s="2">
        <v>7</v>
      </c>
      <c r="I18" s="2">
        <v>8</v>
      </c>
      <c r="J18" s="2">
        <v>9</v>
      </c>
      <c r="K18" s="2">
        <v>10</v>
      </c>
      <c r="L18" s="2">
        <v>11</v>
      </c>
      <c r="M18" s="2">
        <v>12</v>
      </c>
    </row>
    <row r="19" spans="1:13" x14ac:dyDescent="0.25">
      <c r="A19" t="s">
        <v>1</v>
      </c>
      <c r="B19" s="1">
        <v>427043</v>
      </c>
      <c r="C19" s="1">
        <v>323835</v>
      </c>
      <c r="D19" s="1">
        <v>332615</v>
      </c>
      <c r="E19" s="1">
        <v>364423</v>
      </c>
      <c r="F19" s="1">
        <v>310049</v>
      </c>
      <c r="G19" s="1">
        <v>420086</v>
      </c>
      <c r="H19" s="1">
        <v>442308</v>
      </c>
      <c r="I19" s="1">
        <v>394075</v>
      </c>
      <c r="J19" s="1">
        <v>411992</v>
      </c>
      <c r="K19" s="1">
        <v>554025</v>
      </c>
      <c r="L19" s="1">
        <v>873945</v>
      </c>
      <c r="M19" s="1">
        <v>868010</v>
      </c>
    </row>
    <row r="20" spans="1:13" x14ac:dyDescent="0.25">
      <c r="A20" t="s">
        <v>2</v>
      </c>
      <c r="B20" s="1">
        <v>807892</v>
      </c>
      <c r="C20" s="1">
        <v>490568</v>
      </c>
      <c r="D20" s="1">
        <v>640347</v>
      </c>
      <c r="E20" s="1">
        <v>723661</v>
      </c>
      <c r="F20" s="1">
        <v>484012</v>
      </c>
      <c r="G20" s="1">
        <v>773254</v>
      </c>
      <c r="H20" s="1">
        <v>868282</v>
      </c>
      <c r="I20" s="1">
        <v>782216</v>
      </c>
      <c r="J20" s="1">
        <v>615236</v>
      </c>
      <c r="K20" s="1">
        <v>1083079</v>
      </c>
      <c r="L20" s="1">
        <v>1598485</v>
      </c>
      <c r="M20" s="1">
        <v>1726670</v>
      </c>
    </row>
    <row r="21" spans="1:13" x14ac:dyDescent="0.25">
      <c r="A21" t="s">
        <v>3</v>
      </c>
      <c r="B21" s="1">
        <v>1261152</v>
      </c>
      <c r="C21" s="1">
        <v>833715</v>
      </c>
      <c r="D21" s="1">
        <v>1402796</v>
      </c>
      <c r="E21" s="1">
        <v>1259712</v>
      </c>
      <c r="F21" s="1">
        <v>1122077</v>
      </c>
      <c r="G21" s="1">
        <v>1530817</v>
      </c>
      <c r="H21" s="1">
        <v>1541689</v>
      </c>
      <c r="I21" s="1">
        <v>1550016</v>
      </c>
      <c r="J21" s="1">
        <v>1172621</v>
      </c>
      <c r="K21" s="1">
        <v>1933339</v>
      </c>
      <c r="L21" s="1">
        <v>3131096</v>
      </c>
      <c r="M21" s="1">
        <v>3171861</v>
      </c>
    </row>
    <row r="22" spans="1:13" x14ac:dyDescent="0.25">
      <c r="A22" t="s">
        <v>5</v>
      </c>
      <c r="B22" s="1">
        <v>207413</v>
      </c>
      <c r="C22" s="1">
        <v>164396</v>
      </c>
      <c r="D22" s="1">
        <v>203787</v>
      </c>
      <c r="E22" s="1">
        <v>161217</v>
      </c>
      <c r="F22" s="1">
        <v>130096</v>
      </c>
      <c r="G22" s="1">
        <v>228923</v>
      </c>
      <c r="H22" s="1">
        <v>207976</v>
      </c>
      <c r="I22" s="1">
        <v>245560</v>
      </c>
      <c r="J22" s="1">
        <v>187984</v>
      </c>
      <c r="K22" s="1">
        <v>288490</v>
      </c>
      <c r="L22" s="1">
        <v>480390</v>
      </c>
      <c r="M22" s="1">
        <v>539308</v>
      </c>
    </row>
    <row r="23" spans="1:13" x14ac:dyDescent="0.25">
      <c r="A23" t="s">
        <v>4</v>
      </c>
      <c r="B23" s="1">
        <v>918089</v>
      </c>
      <c r="C23" s="1">
        <v>545078</v>
      </c>
      <c r="D23" s="1">
        <v>565416</v>
      </c>
      <c r="E23" s="1">
        <v>589741</v>
      </c>
      <c r="F23" s="1">
        <v>516142</v>
      </c>
      <c r="G23" s="1">
        <v>811411</v>
      </c>
      <c r="H23" s="1">
        <v>840128</v>
      </c>
      <c r="I23" s="1">
        <v>900323</v>
      </c>
      <c r="J23" s="1">
        <v>797762</v>
      </c>
      <c r="K23" s="1">
        <v>967779</v>
      </c>
      <c r="L23" s="1">
        <v>1427540</v>
      </c>
      <c r="M23" s="1">
        <v>1783806</v>
      </c>
    </row>
  </sheetData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DAF31-A39C-46B1-A5A3-D99658CDEA35}">
  <sheetPr codeName="Sheet3"/>
  <dimension ref="A1:M23"/>
  <sheetViews>
    <sheetView tabSelected="1" topLeftCell="A9" workbookViewId="0">
      <selection activeCell="U38" sqref="U38"/>
    </sheetView>
  </sheetViews>
  <sheetFormatPr defaultRowHeight="15" x14ac:dyDescent="0.25"/>
  <cols>
    <col min="1" max="1" width="19.140625" bestFit="1" customWidth="1"/>
    <col min="2" max="13" width="10.5703125" bestFit="1" customWidth="1"/>
  </cols>
  <sheetData>
    <row r="1" spans="1:13" x14ac:dyDescent="0.25">
      <c r="A1" s="4" t="s">
        <v>7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x14ac:dyDescent="0.25">
      <c r="A2" t="s">
        <v>1</v>
      </c>
      <c r="B2" s="1">
        <v>358798</v>
      </c>
      <c r="C2" s="1">
        <v>423423</v>
      </c>
      <c r="D2" s="1">
        <v>356213</v>
      </c>
      <c r="E2" s="1">
        <v>437382</v>
      </c>
      <c r="F2" s="1">
        <v>398090</v>
      </c>
      <c r="G2" s="1">
        <v>455477</v>
      </c>
      <c r="H2" s="1">
        <v>476674</v>
      </c>
      <c r="I2" s="1">
        <v>476674</v>
      </c>
      <c r="J2" s="1">
        <v>393437</v>
      </c>
      <c r="K2" s="1">
        <v>496837</v>
      </c>
      <c r="L2" s="1"/>
      <c r="M2" s="1"/>
    </row>
    <row r="3" spans="1:13" x14ac:dyDescent="0.25">
      <c r="A3" t="s">
        <v>2</v>
      </c>
      <c r="B3" s="1">
        <v>692860</v>
      </c>
      <c r="C3" s="1">
        <v>870239.99999999988</v>
      </c>
      <c r="D3" s="1">
        <v>696780</v>
      </c>
      <c r="E3" s="1">
        <v>853580</v>
      </c>
      <c r="F3" s="1">
        <v>735980</v>
      </c>
      <c r="G3" s="1">
        <v>901600</v>
      </c>
      <c r="H3" s="1">
        <v>895720.00000000012</v>
      </c>
      <c r="I3" s="1">
        <v>884940</v>
      </c>
      <c r="J3" s="1">
        <v>784000</v>
      </c>
      <c r="K3" s="1">
        <v>970200</v>
      </c>
      <c r="L3" s="1"/>
      <c r="M3" s="1"/>
    </row>
    <row r="4" spans="1:13" x14ac:dyDescent="0.25">
      <c r="A4" t="s">
        <v>3</v>
      </c>
      <c r="B4" s="1">
        <v>1330199.9999999998</v>
      </c>
      <c r="C4" s="1">
        <v>1493999.9999999998</v>
      </c>
      <c r="D4" s="1">
        <v>1342800</v>
      </c>
      <c r="E4" s="1">
        <v>1423799.9999999998</v>
      </c>
      <c r="F4" s="1">
        <v>1405800</v>
      </c>
      <c r="G4" s="1">
        <v>1638000</v>
      </c>
      <c r="H4" s="1">
        <v>1782000</v>
      </c>
      <c r="I4" s="1">
        <v>1618200.0000000002</v>
      </c>
      <c r="J4" s="1">
        <v>1197000</v>
      </c>
      <c r="K4" s="1">
        <v>1884600</v>
      </c>
      <c r="L4" s="1"/>
      <c r="M4" s="1"/>
    </row>
    <row r="5" spans="1:13" x14ac:dyDescent="0.25">
      <c r="A5" t="s">
        <v>5</v>
      </c>
      <c r="B5" s="1">
        <v>202720.00000000003</v>
      </c>
      <c r="C5" s="1">
        <v>239119.99999999997</v>
      </c>
      <c r="D5" s="1">
        <v>234079.99999999997</v>
      </c>
      <c r="E5" s="1">
        <v>228479.99999999997</v>
      </c>
      <c r="F5" s="1">
        <v>186760</v>
      </c>
      <c r="G5" s="1">
        <v>256480</v>
      </c>
      <c r="H5" s="1">
        <v>281960</v>
      </c>
      <c r="I5" s="1">
        <v>293720</v>
      </c>
      <c r="J5" s="1">
        <v>229040</v>
      </c>
      <c r="K5" s="1">
        <v>298760</v>
      </c>
      <c r="L5" s="1"/>
      <c r="M5" s="1"/>
    </row>
    <row r="6" spans="1:13" x14ac:dyDescent="0.25">
      <c r="A6" t="s">
        <v>4</v>
      </c>
      <c r="B6" s="1">
        <v>759759</v>
      </c>
      <c r="C6" s="1">
        <v>693693</v>
      </c>
      <c r="D6" s="1">
        <v>786786</v>
      </c>
      <c r="E6" s="1">
        <v>852852</v>
      </c>
      <c r="F6" s="1">
        <v>712712</v>
      </c>
      <c r="G6" s="1">
        <v>906906</v>
      </c>
      <c r="H6" s="1">
        <v>1071070</v>
      </c>
      <c r="I6" s="1">
        <v>1037036.0000000001</v>
      </c>
      <c r="J6" s="1">
        <v>820820</v>
      </c>
      <c r="K6" s="1">
        <v>972972.00000000012</v>
      </c>
      <c r="L6" s="1"/>
      <c r="M6" s="1"/>
    </row>
    <row r="7" spans="1:13" x14ac:dyDescent="0.2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2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25">
      <c r="A9" s="4" t="s">
        <v>6</v>
      </c>
      <c r="B9" s="2">
        <f>B1</f>
        <v>1</v>
      </c>
      <c r="C9" s="2">
        <f t="shared" ref="C9:M9" si="0">C1</f>
        <v>2</v>
      </c>
      <c r="D9" s="2">
        <f t="shared" si="0"/>
        <v>3</v>
      </c>
      <c r="E9" s="2">
        <f t="shared" si="0"/>
        <v>4</v>
      </c>
      <c r="F9" s="2">
        <f t="shared" si="0"/>
        <v>5</v>
      </c>
      <c r="G9" s="2">
        <f t="shared" si="0"/>
        <v>6</v>
      </c>
      <c r="H9" s="2">
        <f t="shared" si="0"/>
        <v>7</v>
      </c>
      <c r="I9" s="2">
        <f t="shared" si="0"/>
        <v>8</v>
      </c>
      <c r="J9" s="2">
        <f t="shared" si="0"/>
        <v>9</v>
      </c>
      <c r="K9" s="2">
        <f t="shared" si="0"/>
        <v>10</v>
      </c>
      <c r="L9" s="2">
        <f t="shared" si="0"/>
        <v>11</v>
      </c>
      <c r="M9" s="2">
        <f t="shared" si="0"/>
        <v>12</v>
      </c>
    </row>
    <row r="10" spans="1:13" x14ac:dyDescent="0.25">
      <c r="A10" t="s">
        <v>1</v>
      </c>
      <c r="K10" s="3">
        <f>K2</f>
        <v>496837</v>
      </c>
      <c r="L10" s="1">
        <f>ROUND(TREND($B2:$K2,$B19:$K19,L19),-3)</f>
        <v>613000</v>
      </c>
      <c r="M10" s="1">
        <f>ROUND(TREND($B2:$K2,$B19:$K19,M19),-3)</f>
        <v>611000</v>
      </c>
    </row>
    <row r="11" spans="1:13" x14ac:dyDescent="0.25">
      <c r="A11" t="s">
        <v>2</v>
      </c>
      <c r="K11" s="3">
        <f>K3</f>
        <v>970200</v>
      </c>
      <c r="L11" s="1">
        <f t="shared" ref="L11:M11" si="1">ROUND(TREND($B3:$K3,$B20:$K20,L20),-3)</f>
        <v>1079000</v>
      </c>
      <c r="M11" s="1">
        <f t="shared" si="1"/>
        <v>1116000</v>
      </c>
    </row>
    <row r="12" spans="1:13" x14ac:dyDescent="0.25">
      <c r="A12" t="s">
        <v>3</v>
      </c>
      <c r="K12" s="3">
        <f>K4</f>
        <v>1884600</v>
      </c>
      <c r="L12" s="1">
        <f t="shared" ref="L12:M12" si="2">ROUND(TREND($B4:$K4,$B21:$K21,L21),-3)</f>
        <v>2416000</v>
      </c>
      <c r="M12" s="1">
        <f t="shared" si="2"/>
        <v>2437000</v>
      </c>
    </row>
    <row r="13" spans="1:13" x14ac:dyDescent="0.25">
      <c r="A13" t="s">
        <v>5</v>
      </c>
      <c r="K13" s="3">
        <f>K5</f>
        <v>298760</v>
      </c>
      <c r="L13" s="1">
        <f t="shared" ref="L13:M13" si="3">ROUND(TREND($B5:$K5,$B22:$K22,L22),-3)</f>
        <v>430000</v>
      </c>
      <c r="M13" s="1">
        <f t="shared" si="3"/>
        <v>469000</v>
      </c>
    </row>
    <row r="14" spans="1:13" x14ac:dyDescent="0.25">
      <c r="A14" t="s">
        <v>4</v>
      </c>
      <c r="K14" s="3">
        <f>K6</f>
        <v>972972.00000000012</v>
      </c>
      <c r="L14" s="1">
        <f t="shared" ref="L14:M14" si="4">ROUND(TREND($B6:$K6,$B23:$K23,L23),-3)</f>
        <v>1211000</v>
      </c>
      <c r="M14" s="1">
        <f t="shared" si="4"/>
        <v>1394000</v>
      </c>
    </row>
    <row r="17" spans="1:13" x14ac:dyDescent="0.25">
      <c r="A17" s="4" t="s">
        <v>8</v>
      </c>
    </row>
    <row r="18" spans="1:13" x14ac:dyDescent="0.25">
      <c r="A18" t="s">
        <v>0</v>
      </c>
      <c r="B18" s="2">
        <v>1</v>
      </c>
      <c r="C18" s="2">
        <v>2</v>
      </c>
      <c r="D18" s="2">
        <v>3</v>
      </c>
      <c r="E18" s="2">
        <v>4</v>
      </c>
      <c r="F18" s="2">
        <v>5</v>
      </c>
      <c r="G18" s="2">
        <v>6</v>
      </c>
      <c r="H18" s="2">
        <v>7</v>
      </c>
      <c r="I18" s="2">
        <v>8</v>
      </c>
      <c r="J18" s="2">
        <v>9</v>
      </c>
      <c r="K18" s="2">
        <v>10</v>
      </c>
      <c r="L18" s="2">
        <v>11</v>
      </c>
      <c r="M18" s="2">
        <v>12</v>
      </c>
    </row>
    <row r="19" spans="1:13" x14ac:dyDescent="0.25">
      <c r="A19" t="s">
        <v>1</v>
      </c>
      <c r="B19" s="1">
        <v>427043</v>
      </c>
      <c r="C19" s="1">
        <v>323835</v>
      </c>
      <c r="D19" s="1">
        <v>332615</v>
      </c>
      <c r="E19" s="1">
        <v>364423</v>
      </c>
      <c r="F19" s="1">
        <v>310049</v>
      </c>
      <c r="G19" s="1">
        <v>420086</v>
      </c>
      <c r="H19" s="1">
        <v>442308</v>
      </c>
      <c r="I19" s="1">
        <v>394075</v>
      </c>
      <c r="J19" s="1">
        <v>411992</v>
      </c>
      <c r="K19" s="1">
        <v>554025</v>
      </c>
      <c r="L19" s="1">
        <v>873945</v>
      </c>
      <c r="M19" s="1">
        <v>868010</v>
      </c>
    </row>
    <row r="20" spans="1:13" x14ac:dyDescent="0.25">
      <c r="A20" t="s">
        <v>2</v>
      </c>
      <c r="B20" s="1">
        <v>807892</v>
      </c>
      <c r="C20" s="1">
        <v>490568</v>
      </c>
      <c r="D20" s="1">
        <v>640347</v>
      </c>
      <c r="E20" s="1">
        <v>723661</v>
      </c>
      <c r="F20" s="1">
        <v>484012</v>
      </c>
      <c r="G20" s="1">
        <v>773254</v>
      </c>
      <c r="H20" s="1">
        <v>868282</v>
      </c>
      <c r="I20" s="1">
        <v>782216</v>
      </c>
      <c r="J20" s="1">
        <v>615236</v>
      </c>
      <c r="K20" s="1">
        <v>1083079</v>
      </c>
      <c r="L20" s="1">
        <v>1598485</v>
      </c>
      <c r="M20" s="1">
        <v>1726670</v>
      </c>
    </row>
    <row r="21" spans="1:13" x14ac:dyDescent="0.25">
      <c r="A21" t="s">
        <v>3</v>
      </c>
      <c r="B21" s="1">
        <v>1261152</v>
      </c>
      <c r="C21" s="1">
        <v>833715</v>
      </c>
      <c r="D21" s="1">
        <v>1402796</v>
      </c>
      <c r="E21" s="1">
        <v>1259712</v>
      </c>
      <c r="F21" s="1">
        <v>1122077</v>
      </c>
      <c r="G21" s="1">
        <v>1530817</v>
      </c>
      <c r="H21" s="1">
        <v>1541689</v>
      </c>
      <c r="I21" s="1">
        <v>1550016</v>
      </c>
      <c r="J21" s="1">
        <v>1172621</v>
      </c>
      <c r="K21" s="1">
        <v>1933339</v>
      </c>
      <c r="L21" s="1">
        <v>3131096</v>
      </c>
      <c r="M21" s="1">
        <v>3171861</v>
      </c>
    </row>
    <row r="22" spans="1:13" x14ac:dyDescent="0.25">
      <c r="A22" t="s">
        <v>5</v>
      </c>
      <c r="B22" s="1">
        <v>207413</v>
      </c>
      <c r="C22" s="1">
        <v>164396</v>
      </c>
      <c r="D22" s="1">
        <v>203787</v>
      </c>
      <c r="E22" s="1">
        <v>161217</v>
      </c>
      <c r="F22" s="1">
        <v>130096</v>
      </c>
      <c r="G22" s="1">
        <v>228923</v>
      </c>
      <c r="H22" s="1">
        <v>207976</v>
      </c>
      <c r="I22" s="1">
        <v>245560</v>
      </c>
      <c r="J22" s="1">
        <v>187984</v>
      </c>
      <c r="K22" s="1">
        <v>288490</v>
      </c>
      <c r="L22" s="1">
        <v>480390</v>
      </c>
      <c r="M22" s="1">
        <v>539308</v>
      </c>
    </row>
    <row r="23" spans="1:13" x14ac:dyDescent="0.25">
      <c r="A23" t="s">
        <v>4</v>
      </c>
      <c r="B23" s="1">
        <v>918089</v>
      </c>
      <c r="C23" s="1">
        <v>545078</v>
      </c>
      <c r="D23" s="1">
        <v>565416</v>
      </c>
      <c r="E23" s="1">
        <v>589741</v>
      </c>
      <c r="F23" s="1">
        <v>516142</v>
      </c>
      <c r="G23" s="1">
        <v>811411</v>
      </c>
      <c r="H23" s="1">
        <v>840128</v>
      </c>
      <c r="I23" s="1">
        <v>900323</v>
      </c>
      <c r="J23" s="1">
        <v>797762</v>
      </c>
      <c r="K23" s="1">
        <v>967779</v>
      </c>
      <c r="L23" s="1">
        <v>1427540</v>
      </c>
      <c r="M23" s="1">
        <v>1783806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Initial</vt:lpstr>
      <vt:lpstr>Completed</vt:lpstr>
      <vt:lpstr>InitalProjection</vt:lpstr>
      <vt:lpstr>CompletedProjection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 Kusleika</dc:creator>
  <cp:lastModifiedBy>Dick Kusleika</cp:lastModifiedBy>
  <dcterms:created xsi:type="dcterms:W3CDTF">2020-03-17T23:34:59Z</dcterms:created>
  <dcterms:modified xsi:type="dcterms:W3CDTF">2020-04-26T22:54:40Z</dcterms:modified>
</cp:coreProperties>
</file>