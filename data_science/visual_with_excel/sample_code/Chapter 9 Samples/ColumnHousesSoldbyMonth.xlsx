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ick\Dropbox\books\Dashboards\Working\Chapter9\"/>
    </mc:Choice>
  </mc:AlternateContent>
  <xr:revisionPtr revIDLastSave="0" documentId="13_ncr:1_{0FA604AD-BA00-4A31-AC5D-07214EDDE400}" xr6:coauthVersionLast="45" xr6:coauthVersionMax="45" xr10:uidLastSave="{00000000-0000-0000-0000-000000000000}"/>
  <bookViews>
    <workbookView xWindow="28680" yWindow="-120" windowWidth="29040" windowHeight="16440" xr2:uid="{F8D910D0-3612-4F7C-AE8E-020B01D95998}"/>
  </bookViews>
  <sheets>
    <sheet name="InitalColumnChart" sheetId="1" r:id="rId1"/>
    <sheet name="VarianceSeries" sheetId="2" r:id="rId2"/>
    <sheet name="InitialErrorBars" sheetId="3" r:id="rId3"/>
    <sheet name="IncreaseErrorBars" sheetId="4" r:id="rId4"/>
    <sheet name="BothErrorBars" sheetId="6" r:id="rId5"/>
    <sheet name="Final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" i="6" l="1"/>
  <c r="C12" i="6"/>
  <c r="G12" i="6" s="1"/>
  <c r="E11" i="6"/>
  <c r="C11" i="6"/>
  <c r="G11" i="6" s="1"/>
  <c r="E10" i="6"/>
  <c r="C10" i="6"/>
  <c r="G10" i="6" s="1"/>
  <c r="E9" i="6"/>
  <c r="C9" i="6"/>
  <c r="G9" i="6" s="1"/>
  <c r="E8" i="6"/>
  <c r="C8" i="6"/>
  <c r="G8" i="6" s="1"/>
  <c r="E7" i="6"/>
  <c r="C7" i="6"/>
  <c r="G7" i="6" s="1"/>
  <c r="E6" i="6"/>
  <c r="C6" i="6"/>
  <c r="G6" i="6" s="1"/>
  <c r="E5" i="6"/>
  <c r="C5" i="6"/>
  <c r="G5" i="6" s="1"/>
  <c r="E4" i="6"/>
  <c r="C4" i="6"/>
  <c r="G4" i="6" s="1"/>
  <c r="E3" i="6"/>
  <c r="C3" i="6"/>
  <c r="G3" i="6" s="1"/>
  <c r="E2" i="6"/>
  <c r="C2" i="6"/>
  <c r="G2" i="6" s="1"/>
  <c r="F3" i="6" l="1"/>
  <c r="F5" i="6"/>
  <c r="F7" i="6"/>
  <c r="F9" i="6"/>
  <c r="F11" i="6"/>
  <c r="F2" i="6"/>
  <c r="F4" i="6"/>
  <c r="F6" i="6"/>
  <c r="F8" i="6"/>
  <c r="F10" i="6"/>
  <c r="F12" i="6"/>
  <c r="E12" i="5"/>
  <c r="C12" i="5"/>
  <c r="G12" i="5" s="1"/>
  <c r="E11" i="5"/>
  <c r="C11" i="5"/>
  <c r="G11" i="5" s="1"/>
  <c r="E10" i="5"/>
  <c r="C10" i="5"/>
  <c r="G10" i="5" s="1"/>
  <c r="E9" i="5"/>
  <c r="C9" i="5"/>
  <c r="G9" i="5" s="1"/>
  <c r="E8" i="5"/>
  <c r="C8" i="5"/>
  <c r="G8" i="5" s="1"/>
  <c r="E7" i="5"/>
  <c r="C7" i="5"/>
  <c r="G7" i="5" s="1"/>
  <c r="E6" i="5"/>
  <c r="C6" i="5"/>
  <c r="G6" i="5" s="1"/>
  <c r="E5" i="5"/>
  <c r="C5" i="5"/>
  <c r="G5" i="5" s="1"/>
  <c r="E4" i="5"/>
  <c r="C4" i="5"/>
  <c r="G4" i="5" s="1"/>
  <c r="E3" i="5"/>
  <c r="C3" i="5"/>
  <c r="G3" i="5" s="1"/>
  <c r="E2" i="5"/>
  <c r="C2" i="5"/>
  <c r="G2" i="5" s="1"/>
  <c r="E12" i="4"/>
  <c r="C12" i="4"/>
  <c r="G12" i="4" s="1"/>
  <c r="E11" i="4"/>
  <c r="C11" i="4"/>
  <c r="G11" i="4" s="1"/>
  <c r="E10" i="4"/>
  <c r="C10" i="4"/>
  <c r="G10" i="4" s="1"/>
  <c r="E9" i="4"/>
  <c r="C9" i="4"/>
  <c r="G9" i="4" s="1"/>
  <c r="E8" i="4"/>
  <c r="C8" i="4"/>
  <c r="G8" i="4" s="1"/>
  <c r="E7" i="4"/>
  <c r="C7" i="4"/>
  <c r="G7" i="4" s="1"/>
  <c r="E6" i="4"/>
  <c r="C6" i="4"/>
  <c r="G6" i="4" s="1"/>
  <c r="E5" i="4"/>
  <c r="C5" i="4"/>
  <c r="G5" i="4" s="1"/>
  <c r="E4" i="4"/>
  <c r="C4" i="4"/>
  <c r="G4" i="4" s="1"/>
  <c r="E3" i="4"/>
  <c r="C3" i="4"/>
  <c r="G3" i="4" s="1"/>
  <c r="E2" i="4"/>
  <c r="C2" i="4"/>
  <c r="G2" i="4" s="1"/>
  <c r="E12" i="3"/>
  <c r="C12" i="3"/>
  <c r="G12" i="3" s="1"/>
  <c r="E11" i="3"/>
  <c r="C11" i="3"/>
  <c r="G11" i="3" s="1"/>
  <c r="E10" i="3"/>
  <c r="C10" i="3"/>
  <c r="G10" i="3" s="1"/>
  <c r="E9" i="3"/>
  <c r="C9" i="3"/>
  <c r="G9" i="3" s="1"/>
  <c r="E8" i="3"/>
  <c r="C8" i="3"/>
  <c r="G8" i="3" s="1"/>
  <c r="E7" i="3"/>
  <c r="C7" i="3"/>
  <c r="G7" i="3" s="1"/>
  <c r="E6" i="3"/>
  <c r="C6" i="3"/>
  <c r="G6" i="3" s="1"/>
  <c r="E5" i="3"/>
  <c r="C5" i="3"/>
  <c r="G5" i="3" s="1"/>
  <c r="E4" i="3"/>
  <c r="C4" i="3"/>
  <c r="G4" i="3" s="1"/>
  <c r="E3" i="3"/>
  <c r="C3" i="3"/>
  <c r="G3" i="3" s="1"/>
  <c r="E2" i="3"/>
  <c r="C2" i="3"/>
  <c r="G2" i="3" s="1"/>
  <c r="E12" i="2"/>
  <c r="C12" i="2"/>
  <c r="G12" i="2" s="1"/>
  <c r="E11" i="2"/>
  <c r="C11" i="2"/>
  <c r="G11" i="2" s="1"/>
  <c r="E10" i="2"/>
  <c r="C10" i="2"/>
  <c r="G10" i="2" s="1"/>
  <c r="E9" i="2"/>
  <c r="C9" i="2"/>
  <c r="G9" i="2" s="1"/>
  <c r="E8" i="2"/>
  <c r="C8" i="2"/>
  <c r="G8" i="2" s="1"/>
  <c r="E7" i="2"/>
  <c r="C7" i="2"/>
  <c r="G7" i="2" s="1"/>
  <c r="E6" i="2"/>
  <c r="C6" i="2"/>
  <c r="G6" i="2" s="1"/>
  <c r="E5" i="2"/>
  <c r="C5" i="2"/>
  <c r="G5" i="2" s="1"/>
  <c r="E4" i="2"/>
  <c r="C4" i="2"/>
  <c r="G4" i="2" s="1"/>
  <c r="E3" i="2"/>
  <c r="C3" i="2"/>
  <c r="G3" i="2" s="1"/>
  <c r="E2" i="2"/>
  <c r="C2" i="2"/>
  <c r="G2" i="2" s="1"/>
  <c r="G4" i="1"/>
  <c r="F5" i="1"/>
  <c r="G5" i="1"/>
  <c r="F6" i="1"/>
  <c r="G6" i="1"/>
  <c r="F10" i="1"/>
  <c r="G10" i="1"/>
  <c r="G12" i="1"/>
  <c r="G2" i="1"/>
  <c r="F2" i="1"/>
  <c r="E3" i="1"/>
  <c r="E4" i="1"/>
  <c r="E5" i="1"/>
  <c r="E6" i="1"/>
  <c r="E7" i="1"/>
  <c r="E8" i="1"/>
  <c r="E9" i="1"/>
  <c r="E10" i="1"/>
  <c r="E11" i="1"/>
  <c r="E12" i="1"/>
  <c r="E2" i="1"/>
  <c r="C3" i="1"/>
  <c r="F3" i="1" s="1"/>
  <c r="C4" i="1"/>
  <c r="F4" i="1" s="1"/>
  <c r="C5" i="1"/>
  <c r="C6" i="1"/>
  <c r="C7" i="1"/>
  <c r="F7" i="1" s="1"/>
  <c r="C8" i="1"/>
  <c r="G8" i="1" s="1"/>
  <c r="C9" i="1"/>
  <c r="F9" i="1" s="1"/>
  <c r="C10" i="1"/>
  <c r="C11" i="1"/>
  <c r="F11" i="1" s="1"/>
  <c r="C12" i="1"/>
  <c r="F12" i="1" s="1"/>
  <c r="C2" i="1"/>
  <c r="F8" i="1" l="1"/>
  <c r="G9" i="1"/>
  <c r="G3" i="1"/>
  <c r="G11" i="1"/>
  <c r="G7" i="1"/>
  <c r="F3" i="5"/>
  <c r="F5" i="5"/>
  <c r="F7" i="5"/>
  <c r="F9" i="5"/>
  <c r="F11" i="5"/>
  <c r="F2" i="5"/>
  <c r="F4" i="5"/>
  <c r="F6" i="5"/>
  <c r="F8" i="5"/>
  <c r="F10" i="5"/>
  <c r="F12" i="5"/>
  <c r="F3" i="4"/>
  <c r="F5" i="4"/>
  <c r="F7" i="4"/>
  <c r="F9" i="4"/>
  <c r="F11" i="4"/>
  <c r="F2" i="4"/>
  <c r="F4" i="4"/>
  <c r="F6" i="4"/>
  <c r="F8" i="4"/>
  <c r="F10" i="4"/>
  <c r="F12" i="4"/>
  <c r="F3" i="3"/>
  <c r="F5" i="3"/>
  <c r="F7" i="3"/>
  <c r="F9" i="3"/>
  <c r="F11" i="3"/>
  <c r="F2" i="3"/>
  <c r="F4" i="3"/>
  <c r="F6" i="3"/>
  <c r="F8" i="3"/>
  <c r="F10" i="3"/>
  <c r="F12" i="3"/>
  <c r="F3" i="2"/>
  <c r="F5" i="2"/>
  <c r="F7" i="2"/>
  <c r="F9" i="2"/>
  <c r="F11" i="2"/>
  <c r="F2" i="2"/>
  <c r="F4" i="2"/>
  <c r="F6" i="2"/>
  <c r="F8" i="2"/>
  <c r="F10" i="2"/>
  <c r="F12" i="2"/>
</calcChain>
</file>

<file path=xl/sharedStrings.xml><?xml version="1.0" encoding="utf-8"?>
<sst xmlns="http://schemas.openxmlformats.org/spreadsheetml/2006/main" count="24" uniqueCount="4">
  <si>
    <t>Month</t>
  </si>
  <si>
    <t>House Sales</t>
  </si>
  <si>
    <t>Increase</t>
  </si>
  <si>
    <t>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</si>
</sst>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,###,"/>
    <numFmt numFmtId="166" formatCode="mmm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0" fillId="0" borderId="0" xfId="0" applyNumberFormat="1"/>
    <xf numFmtId="165" fontId="0" fillId="0" borderId="0" xfId="0" applyNumberFormat="1"/>
    <xf numFmtId="166" fontId="0" fillId="0" borderId="0" xfId="0" applyNumberForma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House Sales</a:t>
            </a:r>
          </a:p>
          <a:p>
            <a:pPr>
              <a:defRPr/>
            </a:pPr>
            <a:r>
              <a:rPr lang="en-US"/>
              <a:t>(amounts</a:t>
            </a:r>
            <a:r>
              <a:rPr lang="en-US" baseline="0"/>
              <a:t> in thousands)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InitalColumnChart!$B$1</c:f>
              <c:strCache>
                <c:ptCount val="1"/>
                <c:pt idx="0">
                  <c:v>House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InitalColumnChart!$A$2:$A$13</c:f>
              <c:numCache>
                <c:formatCode>mmm</c:formatCode>
                <c:ptCount val="12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</c:numCache>
            </c:numRef>
          </c:cat>
          <c:val>
            <c:numRef>
              <c:f>InitalColumnChart!$B$2:$B$13</c:f>
              <c:numCache>
                <c:formatCode>#,###,</c:formatCode>
                <c:ptCount val="12"/>
                <c:pt idx="0">
                  <c:v>1188756</c:v>
                </c:pt>
                <c:pt idx="1">
                  <c:v>2158471</c:v>
                </c:pt>
                <c:pt idx="2">
                  <c:v>2086460</c:v>
                </c:pt>
                <c:pt idx="3">
                  <c:v>5673705</c:v>
                </c:pt>
                <c:pt idx="4">
                  <c:v>4599767</c:v>
                </c:pt>
                <c:pt idx="5">
                  <c:v>9515880</c:v>
                </c:pt>
                <c:pt idx="6">
                  <c:v>4022000</c:v>
                </c:pt>
                <c:pt idx="7">
                  <c:v>3926628</c:v>
                </c:pt>
                <c:pt idx="8">
                  <c:v>5789535</c:v>
                </c:pt>
                <c:pt idx="9">
                  <c:v>2934240</c:v>
                </c:pt>
                <c:pt idx="10">
                  <c:v>3077154</c:v>
                </c:pt>
                <c:pt idx="11">
                  <c:v>1729885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5-4FA1-B687-EB72FC66F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3840744"/>
        <c:axId val="843840088"/>
      </c:barChart>
      <c:dateAx>
        <c:axId val="843840744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40088"/>
        <c:crosses val="autoZero"/>
        <c:auto val="1"/>
        <c:lblOffset val="100"/>
        <c:baseTimeUnit val="months"/>
      </c:dateAx>
      <c:valAx>
        <c:axId val="843840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40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House Sales</a:t>
            </a:r>
          </a:p>
          <a:p>
            <a:pPr>
              <a:defRPr/>
            </a:pPr>
            <a:r>
              <a:rPr lang="en-US"/>
              <a:t>(amounts</a:t>
            </a:r>
            <a:r>
              <a:rPr lang="en-US" baseline="0"/>
              <a:t> in thousands)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VarianceSeries!$B$1</c:f>
              <c:strCache>
                <c:ptCount val="1"/>
                <c:pt idx="0">
                  <c:v>House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VarianceSeries!$A$2:$A$13</c:f>
              <c:numCache>
                <c:formatCode>mmm</c:formatCode>
                <c:ptCount val="12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</c:numCache>
            </c:numRef>
          </c:cat>
          <c:val>
            <c:numRef>
              <c:f>VarianceSeries!$B$2:$B$13</c:f>
              <c:numCache>
                <c:formatCode>#,###,</c:formatCode>
                <c:ptCount val="12"/>
                <c:pt idx="0">
                  <c:v>1188756</c:v>
                </c:pt>
                <c:pt idx="1">
                  <c:v>2158471</c:v>
                </c:pt>
                <c:pt idx="2">
                  <c:v>2086460</c:v>
                </c:pt>
                <c:pt idx="3">
                  <c:v>5673705</c:v>
                </c:pt>
                <c:pt idx="4">
                  <c:v>4599767</c:v>
                </c:pt>
                <c:pt idx="5">
                  <c:v>9515880</c:v>
                </c:pt>
                <c:pt idx="6">
                  <c:v>4022000</c:v>
                </c:pt>
                <c:pt idx="7">
                  <c:v>3926628</c:v>
                </c:pt>
                <c:pt idx="8">
                  <c:v>5789535</c:v>
                </c:pt>
                <c:pt idx="9">
                  <c:v>2934240</c:v>
                </c:pt>
                <c:pt idx="10">
                  <c:v>3077154</c:v>
                </c:pt>
                <c:pt idx="11">
                  <c:v>1729885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3C-4785-95BF-91E31E5EF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3840744"/>
        <c:axId val="843840088"/>
      </c:barChart>
      <c:scatterChart>
        <c:scatterStyle val="lineMarker"/>
        <c:varyColors val="0"/>
        <c:ser>
          <c:idx val="1"/>
          <c:order val="1"/>
          <c:tx>
            <c:strRef>
              <c:f>VarianceSeries!$F$1</c:f>
              <c:strCache>
                <c:ptCount val="1"/>
                <c:pt idx="0">
                  <c:v>Increase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VarianceSeries!$E$2:$E$12</c:f>
              <c:numCache>
                <c:formatCode>General</c:formatCode>
                <c:ptCount val="11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</c:numCache>
            </c:numRef>
          </c:xVal>
          <c:yVal>
            <c:numRef>
              <c:f>VarianceSeries!$F$2:$F$12</c:f>
              <c:numCache>
                <c:formatCode>#,###,</c:formatCode>
                <c:ptCount val="11"/>
                <c:pt idx="0">
                  <c:v>2158471</c:v>
                </c:pt>
                <c:pt idx="1">
                  <c:v>#N/A</c:v>
                </c:pt>
                <c:pt idx="2">
                  <c:v>5673705</c:v>
                </c:pt>
                <c:pt idx="3">
                  <c:v>#N/A</c:v>
                </c:pt>
                <c:pt idx="4">
                  <c:v>9515880</c:v>
                </c:pt>
                <c:pt idx="5">
                  <c:v>#N/A</c:v>
                </c:pt>
                <c:pt idx="6">
                  <c:v>#N/A</c:v>
                </c:pt>
                <c:pt idx="7">
                  <c:v>5789535</c:v>
                </c:pt>
                <c:pt idx="8">
                  <c:v>#N/A</c:v>
                </c:pt>
                <c:pt idx="9">
                  <c:v>3077154</c:v>
                </c:pt>
                <c:pt idx="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3C-4785-95BF-91E31E5EF279}"/>
            </c:ext>
          </c:extLst>
        </c:ser>
        <c:ser>
          <c:idx val="2"/>
          <c:order val="2"/>
          <c:tx>
            <c:strRef>
              <c:f>VarianceSeries!$G$1</c:f>
              <c:strCache>
                <c:ptCount val="1"/>
                <c:pt idx="0">
                  <c:v>Decrease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VarianceSeries!$E$2:$E$12</c:f>
              <c:numCache>
                <c:formatCode>General</c:formatCode>
                <c:ptCount val="11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</c:numCache>
            </c:numRef>
          </c:xVal>
          <c:yVal>
            <c:numRef>
              <c:f>VarianceSeries!$G$2:$G$12</c:f>
              <c:numCache>
                <c:formatCode>#,###,</c:formatCode>
                <c:ptCount val="11"/>
                <c:pt idx="0">
                  <c:v>#N/A</c:v>
                </c:pt>
                <c:pt idx="1">
                  <c:v>2086460</c:v>
                </c:pt>
                <c:pt idx="2">
                  <c:v>#N/A</c:v>
                </c:pt>
                <c:pt idx="3">
                  <c:v>4599767</c:v>
                </c:pt>
                <c:pt idx="4">
                  <c:v>#N/A</c:v>
                </c:pt>
                <c:pt idx="5">
                  <c:v>4022000</c:v>
                </c:pt>
                <c:pt idx="6">
                  <c:v>3926628</c:v>
                </c:pt>
                <c:pt idx="7">
                  <c:v>#N/A</c:v>
                </c:pt>
                <c:pt idx="8">
                  <c:v>2934240</c:v>
                </c:pt>
                <c:pt idx="9">
                  <c:v>#N/A</c:v>
                </c:pt>
                <c:pt idx="10">
                  <c:v>1729885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3C-4785-95BF-91E31E5EF2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840744"/>
        <c:axId val="843840088"/>
      </c:scatterChart>
      <c:catAx>
        <c:axId val="843840744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40088"/>
        <c:crosses val="autoZero"/>
        <c:auto val="0"/>
        <c:lblAlgn val="ctr"/>
        <c:lblOffset val="100"/>
        <c:noMultiLvlLbl val="0"/>
      </c:catAx>
      <c:valAx>
        <c:axId val="843840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40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House Sales</a:t>
            </a:r>
          </a:p>
          <a:p>
            <a:pPr>
              <a:defRPr/>
            </a:pPr>
            <a:r>
              <a:rPr lang="en-US"/>
              <a:t>(amounts</a:t>
            </a:r>
            <a:r>
              <a:rPr lang="en-US" baseline="0"/>
              <a:t> in thousands)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InitialErrorBars!$B$1</c:f>
              <c:strCache>
                <c:ptCount val="1"/>
                <c:pt idx="0">
                  <c:v>House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InitialErrorBars!$A$2:$A$13</c:f>
              <c:numCache>
                <c:formatCode>mmm</c:formatCode>
                <c:ptCount val="12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</c:numCache>
            </c:numRef>
          </c:cat>
          <c:val>
            <c:numRef>
              <c:f>InitialErrorBars!$B$2:$B$13</c:f>
              <c:numCache>
                <c:formatCode>#,###,</c:formatCode>
                <c:ptCount val="12"/>
                <c:pt idx="0">
                  <c:v>1188756</c:v>
                </c:pt>
                <c:pt idx="1">
                  <c:v>2158471</c:v>
                </c:pt>
                <c:pt idx="2">
                  <c:v>2086460</c:v>
                </c:pt>
                <c:pt idx="3">
                  <c:v>5673705</c:v>
                </c:pt>
                <c:pt idx="4">
                  <c:v>4599767</c:v>
                </c:pt>
                <c:pt idx="5">
                  <c:v>9515880</c:v>
                </c:pt>
                <c:pt idx="6">
                  <c:v>4022000</c:v>
                </c:pt>
                <c:pt idx="7">
                  <c:v>3926628</c:v>
                </c:pt>
                <c:pt idx="8">
                  <c:v>5789535</c:v>
                </c:pt>
                <c:pt idx="9">
                  <c:v>2934240</c:v>
                </c:pt>
                <c:pt idx="10">
                  <c:v>3077154</c:v>
                </c:pt>
                <c:pt idx="11">
                  <c:v>1729885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06-4B4D-A42A-C516D804B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3840744"/>
        <c:axId val="843840088"/>
      </c:barChart>
      <c:scatterChart>
        <c:scatterStyle val="lineMarker"/>
        <c:varyColors val="0"/>
        <c:ser>
          <c:idx val="1"/>
          <c:order val="1"/>
          <c:tx>
            <c:strRef>
              <c:f>InitialErrorBars!$F$1</c:f>
              <c:strCache>
                <c:ptCount val="1"/>
                <c:pt idx="0">
                  <c:v>Increase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InitialErrorBars!$E$2:$E$12</c:f>
              <c:numCache>
                <c:formatCode>General</c:formatCode>
                <c:ptCount val="11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</c:numCache>
            </c:numRef>
          </c:xVal>
          <c:yVal>
            <c:numRef>
              <c:f>InitialErrorBars!$F$2:$F$12</c:f>
              <c:numCache>
                <c:formatCode>#,###,</c:formatCode>
                <c:ptCount val="11"/>
                <c:pt idx="0">
                  <c:v>2158471</c:v>
                </c:pt>
                <c:pt idx="1">
                  <c:v>#N/A</c:v>
                </c:pt>
                <c:pt idx="2">
                  <c:v>5673705</c:v>
                </c:pt>
                <c:pt idx="3">
                  <c:v>#N/A</c:v>
                </c:pt>
                <c:pt idx="4">
                  <c:v>9515880</c:v>
                </c:pt>
                <c:pt idx="5">
                  <c:v>#N/A</c:v>
                </c:pt>
                <c:pt idx="6">
                  <c:v>#N/A</c:v>
                </c:pt>
                <c:pt idx="7">
                  <c:v>5789535</c:v>
                </c:pt>
                <c:pt idx="8">
                  <c:v>#N/A</c:v>
                </c:pt>
                <c:pt idx="9">
                  <c:v>3077154</c:v>
                </c:pt>
                <c:pt idx="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06-4B4D-A42A-C516D804BF67}"/>
            </c:ext>
          </c:extLst>
        </c:ser>
        <c:ser>
          <c:idx val="2"/>
          <c:order val="2"/>
          <c:tx>
            <c:strRef>
              <c:f>InitialErrorBars!$G$1</c:f>
              <c:strCache>
                <c:ptCount val="1"/>
                <c:pt idx="0">
                  <c:v>Decrease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InitialErrorBars!$E$2:$E$12</c:f>
              <c:numCache>
                <c:formatCode>General</c:formatCode>
                <c:ptCount val="11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</c:numCache>
            </c:numRef>
          </c:xVal>
          <c:yVal>
            <c:numRef>
              <c:f>InitialErrorBars!$G$2:$G$12</c:f>
              <c:numCache>
                <c:formatCode>#,###,</c:formatCode>
                <c:ptCount val="11"/>
                <c:pt idx="0">
                  <c:v>#N/A</c:v>
                </c:pt>
                <c:pt idx="1">
                  <c:v>2086460</c:v>
                </c:pt>
                <c:pt idx="2">
                  <c:v>#N/A</c:v>
                </c:pt>
                <c:pt idx="3">
                  <c:v>4599767</c:v>
                </c:pt>
                <c:pt idx="4">
                  <c:v>#N/A</c:v>
                </c:pt>
                <c:pt idx="5">
                  <c:v>4022000</c:v>
                </c:pt>
                <c:pt idx="6">
                  <c:v>3926628</c:v>
                </c:pt>
                <c:pt idx="7">
                  <c:v>#N/A</c:v>
                </c:pt>
                <c:pt idx="8">
                  <c:v>2934240</c:v>
                </c:pt>
                <c:pt idx="9">
                  <c:v>#N/A</c:v>
                </c:pt>
                <c:pt idx="10">
                  <c:v>1729885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06-4B4D-A42A-C516D804B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840744"/>
        <c:axId val="843840088"/>
      </c:scatterChart>
      <c:catAx>
        <c:axId val="843840744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40088"/>
        <c:crosses val="autoZero"/>
        <c:auto val="0"/>
        <c:lblAlgn val="ctr"/>
        <c:lblOffset val="100"/>
        <c:noMultiLvlLbl val="0"/>
      </c:catAx>
      <c:valAx>
        <c:axId val="843840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40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House Sales</a:t>
            </a:r>
          </a:p>
          <a:p>
            <a:pPr>
              <a:defRPr/>
            </a:pPr>
            <a:r>
              <a:rPr lang="en-US"/>
              <a:t>(amounts</a:t>
            </a:r>
            <a:r>
              <a:rPr lang="en-US" baseline="0"/>
              <a:t> in thousands)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IncreaseErrorBars!$B$1</c:f>
              <c:strCache>
                <c:ptCount val="1"/>
                <c:pt idx="0">
                  <c:v>House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IncreaseErrorBars!$A$2:$A$13</c:f>
              <c:numCache>
                <c:formatCode>mmm</c:formatCode>
                <c:ptCount val="12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</c:numCache>
            </c:numRef>
          </c:cat>
          <c:val>
            <c:numRef>
              <c:f>IncreaseErrorBars!$B$2:$B$13</c:f>
              <c:numCache>
                <c:formatCode>#,###,</c:formatCode>
                <c:ptCount val="12"/>
                <c:pt idx="0">
                  <c:v>1188756</c:v>
                </c:pt>
                <c:pt idx="1">
                  <c:v>2158471</c:v>
                </c:pt>
                <c:pt idx="2">
                  <c:v>2086460</c:v>
                </c:pt>
                <c:pt idx="3">
                  <c:v>5673705</c:v>
                </c:pt>
                <c:pt idx="4">
                  <c:v>4599767</c:v>
                </c:pt>
                <c:pt idx="5">
                  <c:v>9515880</c:v>
                </c:pt>
                <c:pt idx="6">
                  <c:v>4022000</c:v>
                </c:pt>
                <c:pt idx="7">
                  <c:v>3926628</c:v>
                </c:pt>
                <c:pt idx="8">
                  <c:v>5789535</c:v>
                </c:pt>
                <c:pt idx="9">
                  <c:v>2934240</c:v>
                </c:pt>
                <c:pt idx="10">
                  <c:v>3077154</c:v>
                </c:pt>
                <c:pt idx="11">
                  <c:v>1729885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FE-4023-8D56-40F9C78F4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3840744"/>
        <c:axId val="843840088"/>
      </c:barChart>
      <c:scatterChart>
        <c:scatterStyle val="lineMarker"/>
        <c:varyColors val="0"/>
        <c:ser>
          <c:idx val="1"/>
          <c:order val="1"/>
          <c:tx>
            <c:strRef>
              <c:f>IncreaseErrorBars!$F$1</c:f>
              <c:strCache>
                <c:ptCount val="1"/>
                <c:pt idx="0">
                  <c:v>Increase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1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Ref>
                <c:f>IncreaseErrorBars!$C$2:$C$12</c:f>
                <c:numCache>
                  <c:formatCode>General</c:formatCode>
                  <c:ptCount val="11"/>
                  <c:pt idx="0">
                    <c:v>969715</c:v>
                  </c:pt>
                  <c:pt idx="1">
                    <c:v>-72011</c:v>
                  </c:pt>
                  <c:pt idx="2">
                    <c:v>3587245</c:v>
                  </c:pt>
                  <c:pt idx="3">
                    <c:v>-1073938</c:v>
                  </c:pt>
                  <c:pt idx="4">
                    <c:v>4916113</c:v>
                  </c:pt>
                  <c:pt idx="5">
                    <c:v>-5493880</c:v>
                  </c:pt>
                  <c:pt idx="6">
                    <c:v>-95372</c:v>
                  </c:pt>
                  <c:pt idx="7">
                    <c:v>1862907</c:v>
                  </c:pt>
                  <c:pt idx="8">
                    <c:v>-2855295</c:v>
                  </c:pt>
                  <c:pt idx="9">
                    <c:v>142914</c:v>
                  </c:pt>
                  <c:pt idx="10">
                    <c:v>-1347269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6">
                    <a:lumMod val="75000"/>
                  </a:schemeClr>
                </a:solidFill>
                <a:round/>
                <a:headEnd type="triangle"/>
                <a:tailEnd type="none"/>
              </a:ln>
              <a:effectLst/>
            </c:spPr>
          </c:errBars>
          <c:xVal>
            <c:numRef>
              <c:f>IncreaseErrorBars!$E$2:$E$12</c:f>
              <c:numCache>
                <c:formatCode>General</c:formatCode>
                <c:ptCount val="11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</c:numCache>
            </c:numRef>
          </c:xVal>
          <c:yVal>
            <c:numRef>
              <c:f>IncreaseErrorBars!$F$2:$F$12</c:f>
              <c:numCache>
                <c:formatCode>#,###,</c:formatCode>
                <c:ptCount val="11"/>
                <c:pt idx="0">
                  <c:v>2158471</c:v>
                </c:pt>
                <c:pt idx="1">
                  <c:v>#N/A</c:v>
                </c:pt>
                <c:pt idx="2">
                  <c:v>5673705</c:v>
                </c:pt>
                <c:pt idx="3">
                  <c:v>#N/A</c:v>
                </c:pt>
                <c:pt idx="4">
                  <c:v>9515880</c:v>
                </c:pt>
                <c:pt idx="5">
                  <c:v>#N/A</c:v>
                </c:pt>
                <c:pt idx="6">
                  <c:v>#N/A</c:v>
                </c:pt>
                <c:pt idx="7">
                  <c:v>5789535</c:v>
                </c:pt>
                <c:pt idx="8">
                  <c:v>#N/A</c:v>
                </c:pt>
                <c:pt idx="9">
                  <c:v>3077154</c:v>
                </c:pt>
                <c:pt idx="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FE-4023-8D56-40F9C78F4219}"/>
            </c:ext>
          </c:extLst>
        </c:ser>
        <c:ser>
          <c:idx val="2"/>
          <c:order val="2"/>
          <c:tx>
            <c:strRef>
              <c:f>IncreaseErrorBars!$G$1</c:f>
              <c:strCache>
                <c:ptCount val="1"/>
                <c:pt idx="0">
                  <c:v>Decrease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IncreaseErrorBars!$E$2:$E$12</c:f>
              <c:numCache>
                <c:formatCode>General</c:formatCode>
                <c:ptCount val="11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</c:numCache>
            </c:numRef>
          </c:xVal>
          <c:yVal>
            <c:numRef>
              <c:f>IncreaseErrorBars!$G$2:$G$12</c:f>
              <c:numCache>
                <c:formatCode>#,###,</c:formatCode>
                <c:ptCount val="11"/>
                <c:pt idx="0">
                  <c:v>#N/A</c:v>
                </c:pt>
                <c:pt idx="1">
                  <c:v>2086460</c:v>
                </c:pt>
                <c:pt idx="2">
                  <c:v>#N/A</c:v>
                </c:pt>
                <c:pt idx="3">
                  <c:v>4599767</c:v>
                </c:pt>
                <c:pt idx="4">
                  <c:v>#N/A</c:v>
                </c:pt>
                <c:pt idx="5">
                  <c:v>4022000</c:v>
                </c:pt>
                <c:pt idx="6">
                  <c:v>3926628</c:v>
                </c:pt>
                <c:pt idx="7">
                  <c:v>#N/A</c:v>
                </c:pt>
                <c:pt idx="8">
                  <c:v>2934240</c:v>
                </c:pt>
                <c:pt idx="9">
                  <c:v>#N/A</c:v>
                </c:pt>
                <c:pt idx="10">
                  <c:v>1729885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DFE-4023-8D56-40F9C78F4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840744"/>
        <c:axId val="843840088"/>
      </c:scatterChart>
      <c:catAx>
        <c:axId val="843840744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40088"/>
        <c:crosses val="autoZero"/>
        <c:auto val="0"/>
        <c:lblAlgn val="ctr"/>
        <c:lblOffset val="100"/>
        <c:noMultiLvlLbl val="0"/>
      </c:catAx>
      <c:valAx>
        <c:axId val="843840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40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House Sales</a:t>
            </a:r>
          </a:p>
          <a:p>
            <a:pPr>
              <a:defRPr/>
            </a:pPr>
            <a:r>
              <a:rPr lang="en-US"/>
              <a:t>(amounts</a:t>
            </a:r>
            <a:r>
              <a:rPr lang="en-US" baseline="0"/>
              <a:t> in thousands)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BothErrorBars!$B$1</c:f>
              <c:strCache>
                <c:ptCount val="1"/>
                <c:pt idx="0">
                  <c:v>House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BothErrorBars!$A$2:$A$13</c:f>
              <c:numCache>
                <c:formatCode>mmm</c:formatCode>
                <c:ptCount val="12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</c:numCache>
            </c:numRef>
          </c:cat>
          <c:val>
            <c:numRef>
              <c:f>BothErrorBars!$B$2:$B$13</c:f>
              <c:numCache>
                <c:formatCode>#,###,</c:formatCode>
                <c:ptCount val="12"/>
                <c:pt idx="0">
                  <c:v>1188756</c:v>
                </c:pt>
                <c:pt idx="1">
                  <c:v>2158471</c:v>
                </c:pt>
                <c:pt idx="2">
                  <c:v>2086460</c:v>
                </c:pt>
                <c:pt idx="3">
                  <c:v>5673705</c:v>
                </c:pt>
                <c:pt idx="4">
                  <c:v>4599767</c:v>
                </c:pt>
                <c:pt idx="5">
                  <c:v>9515880</c:v>
                </c:pt>
                <c:pt idx="6">
                  <c:v>4022000</c:v>
                </c:pt>
                <c:pt idx="7">
                  <c:v>3926628</c:v>
                </c:pt>
                <c:pt idx="8">
                  <c:v>5789535</c:v>
                </c:pt>
                <c:pt idx="9">
                  <c:v>2934240</c:v>
                </c:pt>
                <c:pt idx="10">
                  <c:v>3077154</c:v>
                </c:pt>
                <c:pt idx="11">
                  <c:v>1729885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C5-4F0C-85C8-BF0135B7C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43840744"/>
        <c:axId val="843840088"/>
      </c:barChart>
      <c:scatterChart>
        <c:scatterStyle val="lineMarker"/>
        <c:varyColors val="0"/>
        <c:ser>
          <c:idx val="1"/>
          <c:order val="1"/>
          <c:tx>
            <c:strRef>
              <c:f>BothErrorBars!$F$1</c:f>
              <c:strCache>
                <c:ptCount val="1"/>
                <c:pt idx="0">
                  <c:v>Increase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1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Ref>
                <c:f>BothErrorBars!$C$2:$C$12</c:f>
                <c:numCache>
                  <c:formatCode>General</c:formatCode>
                  <c:ptCount val="11"/>
                  <c:pt idx="0">
                    <c:v>969715</c:v>
                  </c:pt>
                  <c:pt idx="1">
                    <c:v>-72011</c:v>
                  </c:pt>
                  <c:pt idx="2">
                    <c:v>3587245</c:v>
                  </c:pt>
                  <c:pt idx="3">
                    <c:v>-1073938</c:v>
                  </c:pt>
                  <c:pt idx="4">
                    <c:v>4916113</c:v>
                  </c:pt>
                  <c:pt idx="5">
                    <c:v>-5493880</c:v>
                  </c:pt>
                  <c:pt idx="6">
                    <c:v>-95372</c:v>
                  </c:pt>
                  <c:pt idx="7">
                    <c:v>1862907</c:v>
                  </c:pt>
                  <c:pt idx="8">
                    <c:v>-2855295</c:v>
                  </c:pt>
                  <c:pt idx="9">
                    <c:v>142914</c:v>
                  </c:pt>
                  <c:pt idx="10">
                    <c:v>-1347269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6">
                    <a:lumMod val="75000"/>
                  </a:schemeClr>
                </a:solidFill>
                <a:round/>
                <a:headEnd type="triangle"/>
                <a:tailEnd type="none"/>
              </a:ln>
              <a:effectLst/>
            </c:spPr>
          </c:errBars>
          <c:xVal>
            <c:numRef>
              <c:f>BothErrorBars!$E$2:$E$12</c:f>
              <c:numCache>
                <c:formatCode>General</c:formatCode>
                <c:ptCount val="11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</c:numCache>
            </c:numRef>
          </c:xVal>
          <c:yVal>
            <c:numRef>
              <c:f>BothErrorBars!$F$2:$F$12</c:f>
              <c:numCache>
                <c:formatCode>#,###,</c:formatCode>
                <c:ptCount val="11"/>
                <c:pt idx="0">
                  <c:v>2158471</c:v>
                </c:pt>
                <c:pt idx="1">
                  <c:v>#N/A</c:v>
                </c:pt>
                <c:pt idx="2">
                  <c:v>5673705</c:v>
                </c:pt>
                <c:pt idx="3">
                  <c:v>#N/A</c:v>
                </c:pt>
                <c:pt idx="4">
                  <c:v>9515880</c:v>
                </c:pt>
                <c:pt idx="5">
                  <c:v>#N/A</c:v>
                </c:pt>
                <c:pt idx="6">
                  <c:v>#N/A</c:v>
                </c:pt>
                <c:pt idx="7">
                  <c:v>5789535</c:v>
                </c:pt>
                <c:pt idx="8">
                  <c:v>#N/A</c:v>
                </c:pt>
                <c:pt idx="9">
                  <c:v>3077154</c:v>
                </c:pt>
                <c:pt idx="1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C5-4F0C-85C8-BF0135B7C952}"/>
            </c:ext>
          </c:extLst>
        </c:ser>
        <c:ser>
          <c:idx val="2"/>
          <c:order val="2"/>
          <c:tx>
            <c:strRef>
              <c:f>BothErrorBars!$G$1</c:f>
              <c:strCache>
                <c:ptCount val="1"/>
                <c:pt idx="0">
                  <c:v>Decrease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1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Ref>
                <c:f>BothErrorBars!$C$2:$C$12</c:f>
                <c:numCache>
                  <c:formatCode>General</c:formatCode>
                  <c:ptCount val="11"/>
                  <c:pt idx="0">
                    <c:v>969715</c:v>
                  </c:pt>
                  <c:pt idx="1">
                    <c:v>-72011</c:v>
                  </c:pt>
                  <c:pt idx="2">
                    <c:v>3587245</c:v>
                  </c:pt>
                  <c:pt idx="3">
                    <c:v>-1073938</c:v>
                  </c:pt>
                  <c:pt idx="4">
                    <c:v>4916113</c:v>
                  </c:pt>
                  <c:pt idx="5">
                    <c:v>-5493880</c:v>
                  </c:pt>
                  <c:pt idx="6">
                    <c:v>-95372</c:v>
                  </c:pt>
                  <c:pt idx="7">
                    <c:v>1862907</c:v>
                  </c:pt>
                  <c:pt idx="8">
                    <c:v>-2855295</c:v>
                  </c:pt>
                  <c:pt idx="9">
                    <c:v>142914</c:v>
                  </c:pt>
                  <c:pt idx="10">
                    <c:v>-1347269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>
                    <a:lumMod val="75000"/>
                  </a:schemeClr>
                </a:solidFill>
                <a:round/>
                <a:headEnd type="triangle"/>
              </a:ln>
              <a:effectLst/>
            </c:spPr>
          </c:errBars>
          <c:xVal>
            <c:numRef>
              <c:f>BothErrorBars!$E$2:$E$12</c:f>
              <c:numCache>
                <c:formatCode>General</c:formatCode>
                <c:ptCount val="11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</c:numCache>
            </c:numRef>
          </c:xVal>
          <c:yVal>
            <c:numRef>
              <c:f>BothErrorBars!$G$2:$G$12</c:f>
              <c:numCache>
                <c:formatCode>#,###,</c:formatCode>
                <c:ptCount val="11"/>
                <c:pt idx="0">
                  <c:v>#N/A</c:v>
                </c:pt>
                <c:pt idx="1">
                  <c:v>2086460</c:v>
                </c:pt>
                <c:pt idx="2">
                  <c:v>#N/A</c:v>
                </c:pt>
                <c:pt idx="3">
                  <c:v>4599767</c:v>
                </c:pt>
                <c:pt idx="4">
                  <c:v>#N/A</c:v>
                </c:pt>
                <c:pt idx="5">
                  <c:v>4022000</c:v>
                </c:pt>
                <c:pt idx="6">
                  <c:v>3926628</c:v>
                </c:pt>
                <c:pt idx="7">
                  <c:v>#N/A</c:v>
                </c:pt>
                <c:pt idx="8">
                  <c:v>2934240</c:v>
                </c:pt>
                <c:pt idx="9">
                  <c:v>#N/A</c:v>
                </c:pt>
                <c:pt idx="10">
                  <c:v>1729885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C5-4F0C-85C8-BF0135B7C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840744"/>
        <c:axId val="843840088"/>
      </c:scatterChart>
      <c:catAx>
        <c:axId val="843840744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40088"/>
        <c:crosses val="autoZero"/>
        <c:auto val="0"/>
        <c:lblAlgn val="ctr"/>
        <c:lblOffset val="100"/>
        <c:noMultiLvlLbl val="0"/>
      </c:catAx>
      <c:valAx>
        <c:axId val="843840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40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House Sales</a:t>
            </a:r>
          </a:p>
          <a:p>
            <a:pPr>
              <a:defRPr/>
            </a:pPr>
            <a:r>
              <a:rPr lang="en-US"/>
              <a:t>(amounts</a:t>
            </a:r>
            <a:r>
              <a:rPr lang="en-US" baseline="0"/>
              <a:t> in thousands)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Final!$B$1</c:f>
              <c:strCache>
                <c:ptCount val="1"/>
                <c:pt idx="0">
                  <c:v>House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Final!$A$2:$A$13</c:f>
              <c:numCache>
                <c:formatCode>mmm</c:formatCode>
                <c:ptCount val="12"/>
                <c:pt idx="0">
                  <c:v>43861</c:v>
                </c:pt>
                <c:pt idx="1">
                  <c:v>43890</c:v>
                </c:pt>
                <c:pt idx="2">
                  <c:v>43921</c:v>
                </c:pt>
                <c:pt idx="3">
                  <c:v>43951</c:v>
                </c:pt>
                <c:pt idx="4">
                  <c:v>43982</c:v>
                </c:pt>
                <c:pt idx="5">
                  <c:v>44012</c:v>
                </c:pt>
                <c:pt idx="6">
                  <c:v>44043</c:v>
                </c:pt>
                <c:pt idx="7">
                  <c:v>44074</c:v>
                </c:pt>
                <c:pt idx="8">
                  <c:v>44104</c:v>
                </c:pt>
                <c:pt idx="9">
                  <c:v>44135</c:v>
                </c:pt>
                <c:pt idx="10">
                  <c:v>44165</c:v>
                </c:pt>
                <c:pt idx="11">
                  <c:v>44196</c:v>
                </c:pt>
              </c:numCache>
            </c:numRef>
          </c:cat>
          <c:val>
            <c:numRef>
              <c:f>Final!$B$2:$B$13</c:f>
              <c:numCache>
                <c:formatCode>#,###,</c:formatCode>
                <c:ptCount val="12"/>
                <c:pt idx="0">
                  <c:v>1188756</c:v>
                </c:pt>
                <c:pt idx="1">
                  <c:v>2158471</c:v>
                </c:pt>
                <c:pt idx="2">
                  <c:v>2086460</c:v>
                </c:pt>
                <c:pt idx="3">
                  <c:v>5673705</c:v>
                </c:pt>
                <c:pt idx="4">
                  <c:v>4599767</c:v>
                </c:pt>
                <c:pt idx="5">
                  <c:v>9515880</c:v>
                </c:pt>
                <c:pt idx="6">
                  <c:v>4022000</c:v>
                </c:pt>
                <c:pt idx="7">
                  <c:v>3926628</c:v>
                </c:pt>
                <c:pt idx="8">
                  <c:v>5789535</c:v>
                </c:pt>
                <c:pt idx="9">
                  <c:v>2934240</c:v>
                </c:pt>
                <c:pt idx="10">
                  <c:v>3077154</c:v>
                </c:pt>
                <c:pt idx="11">
                  <c:v>1729885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D-4B8A-9535-CB8DB3925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27"/>
        <c:axId val="843840744"/>
        <c:axId val="843840088"/>
      </c:barChart>
      <c:scatterChart>
        <c:scatterStyle val="lineMarker"/>
        <c:varyColors val="0"/>
        <c:ser>
          <c:idx val="1"/>
          <c:order val="1"/>
          <c:tx>
            <c:strRef>
              <c:f>Final!$F$1</c:f>
              <c:strCache>
                <c:ptCount val="1"/>
                <c:pt idx="0">
                  <c:v>Increase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2ED35845-58F2-4A00-8A53-A70C531580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2DD-4B8A-9535-CB8DB392510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2DD-4B8A-9535-CB8DB392510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A77A97A-3B25-440B-907D-1517CC9BD4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2DD-4B8A-9535-CB8DB392510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2DD-4B8A-9535-CB8DB392510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F5FA3D1-15AA-4960-A8B4-35C2C4A40A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2DD-4B8A-9535-CB8DB392510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2DD-4B8A-9535-CB8DB392510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2DD-4B8A-9535-CB8DB392510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A076B9B-3047-4E54-AF30-3AF8BE1722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2DD-4B8A-9535-CB8DB392510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02DD-4B8A-9535-CB8DB392510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B523213-BD13-4F4A-B63C-CA0B92CF95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2DD-4B8A-9535-CB8DB392510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2DD-4B8A-9535-CB8DB39251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6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1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Ref>
                <c:f>Final!$C$2:$C$12</c:f>
                <c:numCache>
                  <c:formatCode>General</c:formatCode>
                  <c:ptCount val="11"/>
                  <c:pt idx="0">
                    <c:v>969715</c:v>
                  </c:pt>
                  <c:pt idx="1">
                    <c:v>-72011</c:v>
                  </c:pt>
                  <c:pt idx="2">
                    <c:v>3587245</c:v>
                  </c:pt>
                  <c:pt idx="3">
                    <c:v>-1073938</c:v>
                  </c:pt>
                  <c:pt idx="4">
                    <c:v>4916113</c:v>
                  </c:pt>
                  <c:pt idx="5">
                    <c:v>-5493880</c:v>
                  </c:pt>
                  <c:pt idx="6">
                    <c:v>-95372</c:v>
                  </c:pt>
                  <c:pt idx="7">
                    <c:v>1862907</c:v>
                  </c:pt>
                  <c:pt idx="8">
                    <c:v>-2855295</c:v>
                  </c:pt>
                  <c:pt idx="9">
                    <c:v>142914</c:v>
                  </c:pt>
                  <c:pt idx="10">
                    <c:v>-1347269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6">
                    <a:lumMod val="75000"/>
                  </a:schemeClr>
                </a:solidFill>
                <a:round/>
                <a:headEnd type="triangle"/>
                <a:tailEnd type="none"/>
              </a:ln>
              <a:effectLst/>
            </c:spPr>
          </c:errBars>
          <c:xVal>
            <c:numRef>
              <c:f>Final!$E$2:$E$12</c:f>
              <c:numCache>
                <c:formatCode>General</c:formatCode>
                <c:ptCount val="11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</c:numCache>
            </c:numRef>
          </c:xVal>
          <c:yVal>
            <c:numRef>
              <c:f>Final!$F$2:$F$12</c:f>
              <c:numCache>
                <c:formatCode>#,###,</c:formatCode>
                <c:ptCount val="11"/>
                <c:pt idx="0">
                  <c:v>2158471</c:v>
                </c:pt>
                <c:pt idx="1">
                  <c:v>#N/A</c:v>
                </c:pt>
                <c:pt idx="2">
                  <c:v>5673705</c:v>
                </c:pt>
                <c:pt idx="3">
                  <c:v>#N/A</c:v>
                </c:pt>
                <c:pt idx="4">
                  <c:v>9515880</c:v>
                </c:pt>
                <c:pt idx="5">
                  <c:v>#N/A</c:v>
                </c:pt>
                <c:pt idx="6">
                  <c:v>#N/A</c:v>
                </c:pt>
                <c:pt idx="7">
                  <c:v>5789535</c:v>
                </c:pt>
                <c:pt idx="8">
                  <c:v>#N/A</c:v>
                </c:pt>
                <c:pt idx="9">
                  <c:v>3077154</c:v>
                </c:pt>
                <c:pt idx="10">
                  <c:v>#N/A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Final!$C$2:$C$12</c15:f>
                <c15:dlblRangeCache>
                  <c:ptCount val="11"/>
                  <c:pt idx="0">
                    <c:v>970</c:v>
                  </c:pt>
                  <c:pt idx="1">
                    <c:v>-72</c:v>
                  </c:pt>
                  <c:pt idx="2">
                    <c:v>3,587</c:v>
                  </c:pt>
                  <c:pt idx="3">
                    <c:v>-1,074</c:v>
                  </c:pt>
                  <c:pt idx="4">
                    <c:v>4,916</c:v>
                  </c:pt>
                  <c:pt idx="5">
                    <c:v>-5,494</c:v>
                  </c:pt>
                  <c:pt idx="6">
                    <c:v>-95</c:v>
                  </c:pt>
                  <c:pt idx="7">
                    <c:v>1,863</c:v>
                  </c:pt>
                  <c:pt idx="8">
                    <c:v>-2,855</c:v>
                  </c:pt>
                  <c:pt idx="9">
                    <c:v>143</c:v>
                  </c:pt>
                  <c:pt idx="10">
                    <c:v>-1,347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02DD-4B8A-9535-CB8DB3925101}"/>
            </c:ext>
          </c:extLst>
        </c:ser>
        <c:ser>
          <c:idx val="2"/>
          <c:order val="2"/>
          <c:tx>
            <c:strRef>
              <c:f>Final!$G$1</c:f>
              <c:strCache>
                <c:ptCount val="1"/>
                <c:pt idx="0">
                  <c:v>Decrease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2DD-4B8A-9535-CB8DB392510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146BA53-8236-49EA-9309-55BA95B8F3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2DD-4B8A-9535-CB8DB392510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2DD-4B8A-9535-CB8DB392510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78E5E1E-2935-4E9E-A5BF-D80754C936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2DD-4B8A-9535-CB8DB392510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02DD-4B8A-9535-CB8DB392510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111D40D-BCA7-4549-B743-27C05B9304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2DD-4B8A-9535-CB8DB392510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D84B04A-F7A7-4CAD-BFC5-0573CA34C6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2DD-4B8A-9535-CB8DB392510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2DD-4B8A-9535-CB8DB392510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3271EEF-6965-4DE6-A9CA-B74AB651FA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02DD-4B8A-9535-CB8DB392510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02DD-4B8A-9535-CB8DB392510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B5CDAD5-010B-4E8B-AEB2-E067285A8E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02DD-4B8A-9535-CB8DB39251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both"/>
            <c:errValType val="cust"/>
            <c:noEndCap val="1"/>
            <c:plus>
              <c:numLit>
                <c:formatCode>General</c:formatCode>
                <c:ptCount val="1"/>
                <c:pt idx="0">
                  <c:v>0</c:v>
                </c:pt>
              </c:numLit>
            </c:plus>
            <c:minus>
              <c:numRef>
                <c:f>Final!$C$2:$C$12</c:f>
                <c:numCache>
                  <c:formatCode>General</c:formatCode>
                  <c:ptCount val="11"/>
                  <c:pt idx="0">
                    <c:v>969715</c:v>
                  </c:pt>
                  <c:pt idx="1">
                    <c:v>-72011</c:v>
                  </c:pt>
                  <c:pt idx="2">
                    <c:v>3587245</c:v>
                  </c:pt>
                  <c:pt idx="3">
                    <c:v>-1073938</c:v>
                  </c:pt>
                  <c:pt idx="4">
                    <c:v>4916113</c:v>
                  </c:pt>
                  <c:pt idx="5">
                    <c:v>-5493880</c:v>
                  </c:pt>
                  <c:pt idx="6">
                    <c:v>-95372</c:v>
                  </c:pt>
                  <c:pt idx="7">
                    <c:v>1862907</c:v>
                  </c:pt>
                  <c:pt idx="8">
                    <c:v>-2855295</c:v>
                  </c:pt>
                  <c:pt idx="9">
                    <c:v>142914</c:v>
                  </c:pt>
                  <c:pt idx="10">
                    <c:v>-1347269</c:v>
                  </c:pt>
                </c:numCache>
              </c:numRef>
            </c:minus>
            <c:spPr>
              <a:noFill/>
              <a:ln w="15875" cap="flat" cmpd="sng" algn="ctr">
                <a:solidFill>
                  <a:schemeClr val="accent2">
                    <a:lumMod val="75000"/>
                  </a:schemeClr>
                </a:solidFill>
                <a:round/>
                <a:headEnd type="triangle"/>
              </a:ln>
              <a:effectLst/>
            </c:spPr>
          </c:errBars>
          <c:xVal>
            <c:numRef>
              <c:f>Final!$E$2:$E$12</c:f>
              <c:numCache>
                <c:formatCode>General</c:formatCode>
                <c:ptCount val="11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  <c:pt idx="6">
                  <c:v>7.5</c:v>
                </c:pt>
                <c:pt idx="7">
                  <c:v>8.5</c:v>
                </c:pt>
                <c:pt idx="8">
                  <c:v>9.5</c:v>
                </c:pt>
                <c:pt idx="9">
                  <c:v>10.5</c:v>
                </c:pt>
                <c:pt idx="10">
                  <c:v>11.5</c:v>
                </c:pt>
              </c:numCache>
            </c:numRef>
          </c:xVal>
          <c:yVal>
            <c:numRef>
              <c:f>Final!$G$2:$G$12</c:f>
              <c:numCache>
                <c:formatCode>#,###,</c:formatCode>
                <c:ptCount val="11"/>
                <c:pt idx="0">
                  <c:v>#N/A</c:v>
                </c:pt>
                <c:pt idx="1">
                  <c:v>2086460</c:v>
                </c:pt>
                <c:pt idx="2">
                  <c:v>#N/A</c:v>
                </c:pt>
                <c:pt idx="3">
                  <c:v>4599767</c:v>
                </c:pt>
                <c:pt idx="4">
                  <c:v>#N/A</c:v>
                </c:pt>
                <c:pt idx="5">
                  <c:v>4022000</c:v>
                </c:pt>
                <c:pt idx="6">
                  <c:v>3926628</c:v>
                </c:pt>
                <c:pt idx="7">
                  <c:v>#N/A</c:v>
                </c:pt>
                <c:pt idx="8">
                  <c:v>2934240</c:v>
                </c:pt>
                <c:pt idx="9">
                  <c:v>#N/A</c:v>
                </c:pt>
                <c:pt idx="10">
                  <c:v>1729885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Final!$C$2:$C$12</c15:f>
                <c15:dlblRangeCache>
                  <c:ptCount val="11"/>
                  <c:pt idx="0">
                    <c:v>970</c:v>
                  </c:pt>
                  <c:pt idx="1">
                    <c:v>-72</c:v>
                  </c:pt>
                  <c:pt idx="2">
                    <c:v>3,587</c:v>
                  </c:pt>
                  <c:pt idx="3">
                    <c:v>-1,074</c:v>
                  </c:pt>
                  <c:pt idx="4">
                    <c:v>4,916</c:v>
                  </c:pt>
                  <c:pt idx="5">
                    <c:v>-5,494</c:v>
                  </c:pt>
                  <c:pt idx="6">
                    <c:v>-95</c:v>
                  </c:pt>
                  <c:pt idx="7">
                    <c:v>1,863</c:v>
                  </c:pt>
                  <c:pt idx="8">
                    <c:v>-2,855</c:v>
                  </c:pt>
                  <c:pt idx="9">
                    <c:v>143</c:v>
                  </c:pt>
                  <c:pt idx="10">
                    <c:v>-1,347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02DD-4B8A-9535-CB8DB39251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3840744"/>
        <c:axId val="843840088"/>
      </c:scatterChart>
      <c:catAx>
        <c:axId val="843840744"/>
        <c:scaling>
          <c:orientation val="minMax"/>
        </c:scaling>
        <c:delete val="0"/>
        <c:axPos val="b"/>
        <c:numFmt formatCode="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40088"/>
        <c:crosses val="autoZero"/>
        <c:auto val="0"/>
        <c:lblAlgn val="ctr"/>
        <c:lblOffset val="100"/>
        <c:noMultiLvlLbl val="0"/>
      </c:catAx>
      <c:valAx>
        <c:axId val="843840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3840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</xdr:row>
      <xdr:rowOff>171450</xdr:rowOff>
    </xdr:from>
    <xdr:to>
      <xdr:col>17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6A860A-45BB-42BB-B45D-744375D45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</xdr:row>
      <xdr:rowOff>171450</xdr:rowOff>
    </xdr:from>
    <xdr:to>
      <xdr:col>17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0C98FE-47CE-4A8A-9647-E31085C41E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</xdr:row>
      <xdr:rowOff>171450</xdr:rowOff>
    </xdr:from>
    <xdr:to>
      <xdr:col>17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0D7FD2-16DB-4FF9-95EF-BBCB43B31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</xdr:row>
      <xdr:rowOff>171450</xdr:rowOff>
    </xdr:from>
    <xdr:to>
      <xdr:col>17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293E7C-A28B-439A-BC13-38702819F7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12</xdr:row>
      <xdr:rowOff>171450</xdr:rowOff>
    </xdr:from>
    <xdr:to>
      <xdr:col>17</xdr:col>
      <xdr:colOff>304800</xdr:colOff>
      <xdr:row>27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FA6285-1370-43E7-BAB3-29E52C5556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400049</xdr:colOff>
      <xdr:row>10</xdr:row>
      <xdr:rowOff>0</xdr:rowOff>
    </xdr:from>
    <xdr:to>
      <xdr:col>17</xdr:col>
      <xdr:colOff>314325</xdr:colOff>
      <xdr:row>29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D01974-B294-4B8C-B6AF-CCDDB326F2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B6047-972C-4614-8946-3DF172E515D0}">
  <sheetPr codeName="Sheet1"/>
  <dimension ref="A1:G13"/>
  <sheetViews>
    <sheetView tabSelected="1" workbookViewId="0"/>
  </sheetViews>
  <sheetFormatPr defaultRowHeight="15" x14ac:dyDescent="0.25"/>
  <cols>
    <col min="1" max="1" width="10.7109375" bestFit="1" customWidth="1"/>
    <col min="2" max="2" width="13.28515625" bestFit="1" customWidth="1"/>
    <col min="3" max="3" width="13.28515625" customWidth="1"/>
  </cols>
  <sheetData>
    <row r="1" spans="1:7" x14ac:dyDescent="0.25">
      <c r="A1" t="s">
        <v>0</v>
      </c>
      <c r="B1" t="s">
        <v>1</v>
      </c>
      <c r="F1" t="s">
        <v>2</v>
      </c>
      <c r="G1" t="s">
        <v>3</v>
      </c>
    </row>
    <row r="2" spans="1:7" x14ac:dyDescent="0.25">
      <c r="A2" s="4">
        <v>43861</v>
      </c>
      <c r="B2" s="5">
        <v>1188756</v>
      </c>
      <c r="C2" s="1">
        <f>B3-B2</f>
        <v>969715</v>
      </c>
      <c r="E2" s="2">
        <f>MONTH(A2)+0.5</f>
        <v>1.5</v>
      </c>
      <c r="F2" s="3">
        <f>IF(C2&gt;0,B3,NA())</f>
        <v>2158471</v>
      </c>
      <c r="G2" s="3" t="e">
        <f>IF(C2&lt;0,B3,NA())</f>
        <v>#N/A</v>
      </c>
    </row>
    <row r="3" spans="1:7" x14ac:dyDescent="0.25">
      <c r="A3" s="4">
        <v>43890</v>
      </c>
      <c r="B3" s="5">
        <v>2158471</v>
      </c>
      <c r="C3" s="1">
        <f t="shared" ref="C3:C12" si="0">B4-B3</f>
        <v>-72011</v>
      </c>
      <c r="E3" s="2">
        <f t="shared" ref="E3:E12" si="1">MONTH(A3)+0.5</f>
        <v>2.5</v>
      </c>
      <c r="F3" s="3" t="e">
        <f t="shared" ref="F3:F12" si="2">IF(C3&gt;0,B4,NA())</f>
        <v>#N/A</v>
      </c>
      <c r="G3" s="3">
        <f t="shared" ref="G3:G12" si="3">IF(C3&lt;0,B4,NA())</f>
        <v>2086460</v>
      </c>
    </row>
    <row r="4" spans="1:7" x14ac:dyDescent="0.25">
      <c r="A4" s="4">
        <v>43921</v>
      </c>
      <c r="B4" s="5">
        <v>2086460</v>
      </c>
      <c r="C4" s="1">
        <f t="shared" si="0"/>
        <v>3587245</v>
      </c>
      <c r="E4" s="2">
        <f t="shared" si="1"/>
        <v>3.5</v>
      </c>
      <c r="F4" s="3">
        <f t="shared" si="2"/>
        <v>5673705</v>
      </c>
      <c r="G4" s="3" t="e">
        <f t="shared" si="3"/>
        <v>#N/A</v>
      </c>
    </row>
    <row r="5" spans="1:7" x14ac:dyDescent="0.25">
      <c r="A5" s="4">
        <v>43951</v>
      </c>
      <c r="B5" s="5">
        <v>5673705</v>
      </c>
      <c r="C5" s="1">
        <f t="shared" si="0"/>
        <v>-1073938</v>
      </c>
      <c r="E5" s="2">
        <f t="shared" si="1"/>
        <v>4.5</v>
      </c>
      <c r="F5" s="3" t="e">
        <f t="shared" si="2"/>
        <v>#N/A</v>
      </c>
      <c r="G5" s="3">
        <f t="shared" si="3"/>
        <v>4599767</v>
      </c>
    </row>
    <row r="6" spans="1:7" x14ac:dyDescent="0.25">
      <c r="A6" s="4">
        <v>43982</v>
      </c>
      <c r="B6" s="5">
        <v>4599767</v>
      </c>
      <c r="C6" s="1">
        <f t="shared" si="0"/>
        <v>4916113</v>
      </c>
      <c r="E6" s="2">
        <f t="shared" si="1"/>
        <v>5.5</v>
      </c>
      <c r="F6" s="3">
        <f t="shared" si="2"/>
        <v>9515880</v>
      </c>
      <c r="G6" s="3" t="e">
        <f t="shared" si="3"/>
        <v>#N/A</v>
      </c>
    </row>
    <row r="7" spans="1:7" x14ac:dyDescent="0.25">
      <c r="A7" s="4">
        <v>44012</v>
      </c>
      <c r="B7" s="5">
        <v>9515880</v>
      </c>
      <c r="C7" s="1">
        <f t="shared" si="0"/>
        <v>-5493880</v>
      </c>
      <c r="E7" s="2">
        <f t="shared" si="1"/>
        <v>6.5</v>
      </c>
      <c r="F7" s="3" t="e">
        <f t="shared" si="2"/>
        <v>#N/A</v>
      </c>
      <c r="G7" s="3">
        <f t="shared" si="3"/>
        <v>4022000</v>
      </c>
    </row>
    <row r="8" spans="1:7" x14ac:dyDescent="0.25">
      <c r="A8" s="4">
        <v>44043</v>
      </c>
      <c r="B8" s="5">
        <v>4022000</v>
      </c>
      <c r="C8" s="1">
        <f t="shared" si="0"/>
        <v>-95372</v>
      </c>
      <c r="E8" s="2">
        <f t="shared" si="1"/>
        <v>7.5</v>
      </c>
      <c r="F8" s="3" t="e">
        <f t="shared" si="2"/>
        <v>#N/A</v>
      </c>
      <c r="G8" s="3">
        <f t="shared" si="3"/>
        <v>3926628</v>
      </c>
    </row>
    <row r="9" spans="1:7" x14ac:dyDescent="0.25">
      <c r="A9" s="4">
        <v>44074</v>
      </c>
      <c r="B9" s="5">
        <v>3926628</v>
      </c>
      <c r="C9" s="1">
        <f t="shared" si="0"/>
        <v>1862907</v>
      </c>
      <c r="E9" s="2">
        <f t="shared" si="1"/>
        <v>8.5</v>
      </c>
      <c r="F9" s="3">
        <f t="shared" si="2"/>
        <v>5789535</v>
      </c>
      <c r="G9" s="3" t="e">
        <f t="shared" si="3"/>
        <v>#N/A</v>
      </c>
    </row>
    <row r="10" spans="1:7" x14ac:dyDescent="0.25">
      <c r="A10" s="4">
        <v>44104</v>
      </c>
      <c r="B10" s="5">
        <v>5789535</v>
      </c>
      <c r="C10" s="1">
        <f t="shared" si="0"/>
        <v>-2855295</v>
      </c>
      <c r="E10" s="2">
        <f t="shared" si="1"/>
        <v>9.5</v>
      </c>
      <c r="F10" s="3" t="e">
        <f t="shared" si="2"/>
        <v>#N/A</v>
      </c>
      <c r="G10" s="3">
        <f t="shared" si="3"/>
        <v>2934240</v>
      </c>
    </row>
    <row r="11" spans="1:7" x14ac:dyDescent="0.25">
      <c r="A11" s="4">
        <v>44135</v>
      </c>
      <c r="B11" s="5">
        <v>2934240</v>
      </c>
      <c r="C11" s="1">
        <f t="shared" si="0"/>
        <v>142914</v>
      </c>
      <c r="E11" s="2">
        <f t="shared" si="1"/>
        <v>10.5</v>
      </c>
      <c r="F11" s="3">
        <f t="shared" si="2"/>
        <v>3077154</v>
      </c>
      <c r="G11" s="3" t="e">
        <f t="shared" si="3"/>
        <v>#N/A</v>
      </c>
    </row>
    <row r="12" spans="1:7" x14ac:dyDescent="0.25">
      <c r="A12" s="4">
        <v>44165</v>
      </c>
      <c r="B12" s="5">
        <v>3077154</v>
      </c>
      <c r="C12" s="1">
        <f t="shared" si="0"/>
        <v>-1347269</v>
      </c>
      <c r="E12" s="2">
        <f t="shared" si="1"/>
        <v>11.5</v>
      </c>
      <c r="F12" s="3" t="e">
        <f t="shared" si="2"/>
        <v>#N/A</v>
      </c>
      <c r="G12" s="3">
        <f t="shared" si="3"/>
        <v>1729885</v>
      </c>
    </row>
    <row r="13" spans="1:7" x14ac:dyDescent="0.25">
      <c r="A13" s="4">
        <v>44196</v>
      </c>
      <c r="B13" s="5">
        <v>1729885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6477B-8B2B-4863-B532-5BB5BD220FB2}">
  <sheetPr codeName="Sheet2"/>
  <dimension ref="A1:G13"/>
  <sheetViews>
    <sheetView workbookViewId="0"/>
  </sheetViews>
  <sheetFormatPr defaultRowHeight="15" x14ac:dyDescent="0.25"/>
  <cols>
    <col min="1" max="1" width="10.7109375" bestFit="1" customWidth="1"/>
    <col min="2" max="2" width="13.28515625" bestFit="1" customWidth="1"/>
    <col min="3" max="3" width="11.28515625" bestFit="1" customWidth="1"/>
  </cols>
  <sheetData>
    <row r="1" spans="1:7" x14ac:dyDescent="0.25">
      <c r="A1" t="s">
        <v>0</v>
      </c>
      <c r="B1" t="s">
        <v>1</v>
      </c>
      <c r="F1" t="s">
        <v>2</v>
      </c>
      <c r="G1" t="s">
        <v>3</v>
      </c>
    </row>
    <row r="2" spans="1:7" x14ac:dyDescent="0.25">
      <c r="A2" s="4">
        <v>43861</v>
      </c>
      <c r="B2" s="5">
        <v>1188756</v>
      </c>
      <c r="C2" s="1">
        <f>B3-B2</f>
        <v>969715</v>
      </c>
      <c r="E2" s="2">
        <f>MONTH(A2)+0.5</f>
        <v>1.5</v>
      </c>
      <c r="F2" s="3">
        <f>IF(C2&gt;0,B3,NA())</f>
        <v>2158471</v>
      </c>
      <c r="G2" s="3" t="e">
        <f>IF(C2&lt;0,B3,NA())</f>
        <v>#N/A</v>
      </c>
    </row>
    <row r="3" spans="1:7" x14ac:dyDescent="0.25">
      <c r="A3" s="4">
        <v>43890</v>
      </c>
      <c r="B3" s="5">
        <v>2158471</v>
      </c>
      <c r="C3" s="1">
        <f t="shared" ref="C3:C12" si="0">B4-B3</f>
        <v>-72011</v>
      </c>
      <c r="E3" s="2">
        <f t="shared" ref="E3:E12" si="1">MONTH(A3)+0.5</f>
        <v>2.5</v>
      </c>
      <c r="F3" s="3" t="e">
        <f t="shared" ref="F3:F12" si="2">IF(C3&gt;0,B4,NA())</f>
        <v>#N/A</v>
      </c>
      <c r="G3" s="3">
        <f t="shared" ref="G3:G12" si="3">IF(C3&lt;0,B4,NA())</f>
        <v>2086460</v>
      </c>
    </row>
    <row r="4" spans="1:7" x14ac:dyDescent="0.25">
      <c r="A4" s="4">
        <v>43921</v>
      </c>
      <c r="B4" s="5">
        <v>2086460</v>
      </c>
      <c r="C4" s="1">
        <f t="shared" si="0"/>
        <v>3587245</v>
      </c>
      <c r="E4" s="2">
        <f t="shared" si="1"/>
        <v>3.5</v>
      </c>
      <c r="F4" s="3">
        <f t="shared" si="2"/>
        <v>5673705</v>
      </c>
      <c r="G4" s="3" t="e">
        <f t="shared" si="3"/>
        <v>#N/A</v>
      </c>
    </row>
    <row r="5" spans="1:7" x14ac:dyDescent="0.25">
      <c r="A5" s="4">
        <v>43951</v>
      </c>
      <c r="B5" s="5">
        <v>5673705</v>
      </c>
      <c r="C5" s="1">
        <f t="shared" si="0"/>
        <v>-1073938</v>
      </c>
      <c r="E5" s="2">
        <f t="shared" si="1"/>
        <v>4.5</v>
      </c>
      <c r="F5" s="3" t="e">
        <f t="shared" si="2"/>
        <v>#N/A</v>
      </c>
      <c r="G5" s="3">
        <f t="shared" si="3"/>
        <v>4599767</v>
      </c>
    </row>
    <row r="6" spans="1:7" x14ac:dyDescent="0.25">
      <c r="A6" s="4">
        <v>43982</v>
      </c>
      <c r="B6" s="5">
        <v>4599767</v>
      </c>
      <c r="C6" s="1">
        <f t="shared" si="0"/>
        <v>4916113</v>
      </c>
      <c r="E6" s="2">
        <f t="shared" si="1"/>
        <v>5.5</v>
      </c>
      <c r="F6" s="3">
        <f t="shared" si="2"/>
        <v>9515880</v>
      </c>
      <c r="G6" s="3" t="e">
        <f t="shared" si="3"/>
        <v>#N/A</v>
      </c>
    </row>
    <row r="7" spans="1:7" x14ac:dyDescent="0.25">
      <c r="A7" s="4">
        <v>44012</v>
      </c>
      <c r="B7" s="5">
        <v>9515880</v>
      </c>
      <c r="C7" s="1">
        <f t="shared" si="0"/>
        <v>-5493880</v>
      </c>
      <c r="E7" s="2">
        <f t="shared" si="1"/>
        <v>6.5</v>
      </c>
      <c r="F7" s="3" t="e">
        <f t="shared" si="2"/>
        <v>#N/A</v>
      </c>
      <c r="G7" s="3">
        <f t="shared" si="3"/>
        <v>4022000</v>
      </c>
    </row>
    <row r="8" spans="1:7" x14ac:dyDescent="0.25">
      <c r="A8" s="4">
        <v>44043</v>
      </c>
      <c r="B8" s="5">
        <v>4022000</v>
      </c>
      <c r="C8" s="1">
        <f t="shared" si="0"/>
        <v>-95372</v>
      </c>
      <c r="E8" s="2">
        <f t="shared" si="1"/>
        <v>7.5</v>
      </c>
      <c r="F8" s="3" t="e">
        <f t="shared" si="2"/>
        <v>#N/A</v>
      </c>
      <c r="G8" s="3">
        <f t="shared" si="3"/>
        <v>3926628</v>
      </c>
    </row>
    <row r="9" spans="1:7" x14ac:dyDescent="0.25">
      <c r="A9" s="4">
        <v>44074</v>
      </c>
      <c r="B9" s="5">
        <v>3926628</v>
      </c>
      <c r="C9" s="1">
        <f t="shared" si="0"/>
        <v>1862907</v>
      </c>
      <c r="E9" s="2">
        <f t="shared" si="1"/>
        <v>8.5</v>
      </c>
      <c r="F9" s="3">
        <f t="shared" si="2"/>
        <v>5789535</v>
      </c>
      <c r="G9" s="3" t="e">
        <f t="shared" si="3"/>
        <v>#N/A</v>
      </c>
    </row>
    <row r="10" spans="1:7" x14ac:dyDescent="0.25">
      <c r="A10" s="4">
        <v>44104</v>
      </c>
      <c r="B10" s="5">
        <v>5789535</v>
      </c>
      <c r="C10" s="1">
        <f t="shared" si="0"/>
        <v>-2855295</v>
      </c>
      <c r="E10" s="2">
        <f t="shared" si="1"/>
        <v>9.5</v>
      </c>
      <c r="F10" s="3" t="e">
        <f t="shared" si="2"/>
        <v>#N/A</v>
      </c>
      <c r="G10" s="3">
        <f t="shared" si="3"/>
        <v>2934240</v>
      </c>
    </row>
    <row r="11" spans="1:7" x14ac:dyDescent="0.25">
      <c r="A11" s="4">
        <v>44135</v>
      </c>
      <c r="B11" s="5">
        <v>2934240</v>
      </c>
      <c r="C11" s="1">
        <f t="shared" si="0"/>
        <v>142914</v>
      </c>
      <c r="E11" s="2">
        <f t="shared" si="1"/>
        <v>10.5</v>
      </c>
      <c r="F11" s="3">
        <f t="shared" si="2"/>
        <v>3077154</v>
      </c>
      <c r="G11" s="3" t="e">
        <f t="shared" si="3"/>
        <v>#N/A</v>
      </c>
    </row>
    <row r="12" spans="1:7" x14ac:dyDescent="0.25">
      <c r="A12" s="4">
        <v>44165</v>
      </c>
      <c r="B12" s="5">
        <v>3077154</v>
      </c>
      <c r="C12" s="1">
        <f t="shared" si="0"/>
        <v>-1347269</v>
      </c>
      <c r="E12" s="2">
        <f t="shared" si="1"/>
        <v>11.5</v>
      </c>
      <c r="F12" s="3" t="e">
        <f t="shared" si="2"/>
        <v>#N/A</v>
      </c>
      <c r="G12" s="3">
        <f t="shared" si="3"/>
        <v>1729885</v>
      </c>
    </row>
    <row r="13" spans="1:7" x14ac:dyDescent="0.25">
      <c r="A13" s="4">
        <v>44196</v>
      </c>
      <c r="B13" s="5">
        <v>1729885</v>
      </c>
    </row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7A494-4A60-43B0-AE5C-6C9CBAFF7330}">
  <sheetPr codeName="Sheet3"/>
  <dimension ref="A1:G13"/>
  <sheetViews>
    <sheetView workbookViewId="0"/>
  </sheetViews>
  <sheetFormatPr defaultRowHeight="15" x14ac:dyDescent="0.25"/>
  <cols>
    <col min="1" max="1" width="10.7109375" bestFit="1" customWidth="1"/>
    <col min="2" max="2" width="13.28515625" bestFit="1" customWidth="1"/>
    <col min="3" max="3" width="11.28515625" bestFit="1" customWidth="1"/>
  </cols>
  <sheetData>
    <row r="1" spans="1:7" x14ac:dyDescent="0.25">
      <c r="A1" t="s">
        <v>0</v>
      </c>
      <c r="B1" t="s">
        <v>1</v>
      </c>
      <c r="F1" t="s">
        <v>2</v>
      </c>
      <c r="G1" t="s">
        <v>3</v>
      </c>
    </row>
    <row r="2" spans="1:7" x14ac:dyDescent="0.25">
      <c r="A2" s="4">
        <v>43861</v>
      </c>
      <c r="B2" s="5">
        <v>1188756</v>
      </c>
      <c r="C2" s="1">
        <f>B3-B2</f>
        <v>969715</v>
      </c>
      <c r="E2" s="2">
        <f>MONTH(A2)+0.5</f>
        <v>1.5</v>
      </c>
      <c r="F2" s="3">
        <f>IF(C2&gt;0,B3,NA())</f>
        <v>2158471</v>
      </c>
      <c r="G2" s="3" t="e">
        <f>IF(C2&lt;0,B3,NA())</f>
        <v>#N/A</v>
      </c>
    </row>
    <row r="3" spans="1:7" x14ac:dyDescent="0.25">
      <c r="A3" s="4">
        <v>43890</v>
      </c>
      <c r="B3" s="5">
        <v>2158471</v>
      </c>
      <c r="C3" s="1">
        <f t="shared" ref="C3:C12" si="0">B4-B3</f>
        <v>-72011</v>
      </c>
      <c r="E3" s="2">
        <f t="shared" ref="E3:E12" si="1">MONTH(A3)+0.5</f>
        <v>2.5</v>
      </c>
      <c r="F3" s="3" t="e">
        <f t="shared" ref="F3:F12" si="2">IF(C3&gt;0,B4,NA())</f>
        <v>#N/A</v>
      </c>
      <c r="G3" s="3">
        <f t="shared" ref="G3:G12" si="3">IF(C3&lt;0,B4,NA())</f>
        <v>2086460</v>
      </c>
    </row>
    <row r="4" spans="1:7" x14ac:dyDescent="0.25">
      <c r="A4" s="4">
        <v>43921</v>
      </c>
      <c r="B4" s="5">
        <v>2086460</v>
      </c>
      <c r="C4" s="1">
        <f t="shared" si="0"/>
        <v>3587245</v>
      </c>
      <c r="E4" s="2">
        <f t="shared" si="1"/>
        <v>3.5</v>
      </c>
      <c r="F4" s="3">
        <f t="shared" si="2"/>
        <v>5673705</v>
      </c>
      <c r="G4" s="3" t="e">
        <f t="shared" si="3"/>
        <v>#N/A</v>
      </c>
    </row>
    <row r="5" spans="1:7" x14ac:dyDescent="0.25">
      <c r="A5" s="4">
        <v>43951</v>
      </c>
      <c r="B5" s="5">
        <v>5673705</v>
      </c>
      <c r="C5" s="1">
        <f t="shared" si="0"/>
        <v>-1073938</v>
      </c>
      <c r="E5" s="2">
        <f t="shared" si="1"/>
        <v>4.5</v>
      </c>
      <c r="F5" s="3" t="e">
        <f t="shared" si="2"/>
        <v>#N/A</v>
      </c>
      <c r="G5" s="3">
        <f t="shared" si="3"/>
        <v>4599767</v>
      </c>
    </row>
    <row r="6" spans="1:7" x14ac:dyDescent="0.25">
      <c r="A6" s="4">
        <v>43982</v>
      </c>
      <c r="B6" s="5">
        <v>4599767</v>
      </c>
      <c r="C6" s="1">
        <f t="shared" si="0"/>
        <v>4916113</v>
      </c>
      <c r="E6" s="2">
        <f t="shared" si="1"/>
        <v>5.5</v>
      </c>
      <c r="F6" s="3">
        <f t="shared" si="2"/>
        <v>9515880</v>
      </c>
      <c r="G6" s="3" t="e">
        <f t="shared" si="3"/>
        <v>#N/A</v>
      </c>
    </row>
    <row r="7" spans="1:7" x14ac:dyDescent="0.25">
      <c r="A7" s="4">
        <v>44012</v>
      </c>
      <c r="B7" s="5">
        <v>9515880</v>
      </c>
      <c r="C7" s="1">
        <f t="shared" si="0"/>
        <v>-5493880</v>
      </c>
      <c r="E7" s="2">
        <f t="shared" si="1"/>
        <v>6.5</v>
      </c>
      <c r="F7" s="3" t="e">
        <f t="shared" si="2"/>
        <v>#N/A</v>
      </c>
      <c r="G7" s="3">
        <f t="shared" si="3"/>
        <v>4022000</v>
      </c>
    </row>
    <row r="8" spans="1:7" x14ac:dyDescent="0.25">
      <c r="A8" s="4">
        <v>44043</v>
      </c>
      <c r="B8" s="5">
        <v>4022000</v>
      </c>
      <c r="C8" s="1">
        <f t="shared" si="0"/>
        <v>-95372</v>
      </c>
      <c r="E8" s="2">
        <f t="shared" si="1"/>
        <v>7.5</v>
      </c>
      <c r="F8" s="3" t="e">
        <f t="shared" si="2"/>
        <v>#N/A</v>
      </c>
      <c r="G8" s="3">
        <f t="shared" si="3"/>
        <v>3926628</v>
      </c>
    </row>
    <row r="9" spans="1:7" x14ac:dyDescent="0.25">
      <c r="A9" s="4">
        <v>44074</v>
      </c>
      <c r="B9" s="5">
        <v>3926628</v>
      </c>
      <c r="C9" s="1">
        <f t="shared" si="0"/>
        <v>1862907</v>
      </c>
      <c r="E9" s="2">
        <f t="shared" si="1"/>
        <v>8.5</v>
      </c>
      <c r="F9" s="3">
        <f t="shared" si="2"/>
        <v>5789535</v>
      </c>
      <c r="G9" s="3" t="e">
        <f t="shared" si="3"/>
        <v>#N/A</v>
      </c>
    </row>
    <row r="10" spans="1:7" x14ac:dyDescent="0.25">
      <c r="A10" s="4">
        <v>44104</v>
      </c>
      <c r="B10" s="5">
        <v>5789535</v>
      </c>
      <c r="C10" s="1">
        <f t="shared" si="0"/>
        <v>-2855295</v>
      </c>
      <c r="E10" s="2">
        <f t="shared" si="1"/>
        <v>9.5</v>
      </c>
      <c r="F10" s="3" t="e">
        <f t="shared" si="2"/>
        <v>#N/A</v>
      </c>
      <c r="G10" s="3">
        <f t="shared" si="3"/>
        <v>2934240</v>
      </c>
    </row>
    <row r="11" spans="1:7" x14ac:dyDescent="0.25">
      <c r="A11" s="4">
        <v>44135</v>
      </c>
      <c r="B11" s="5">
        <v>2934240</v>
      </c>
      <c r="C11" s="1">
        <f t="shared" si="0"/>
        <v>142914</v>
      </c>
      <c r="E11" s="2">
        <f t="shared" si="1"/>
        <v>10.5</v>
      </c>
      <c r="F11" s="3">
        <f t="shared" si="2"/>
        <v>3077154</v>
      </c>
      <c r="G11" s="3" t="e">
        <f t="shared" si="3"/>
        <v>#N/A</v>
      </c>
    </row>
    <row r="12" spans="1:7" x14ac:dyDescent="0.25">
      <c r="A12" s="4">
        <v>44165</v>
      </c>
      <c r="B12" s="5">
        <v>3077154</v>
      </c>
      <c r="C12" s="1">
        <f t="shared" si="0"/>
        <v>-1347269</v>
      </c>
      <c r="E12" s="2">
        <f t="shared" si="1"/>
        <v>11.5</v>
      </c>
      <c r="F12" s="3" t="e">
        <f t="shared" si="2"/>
        <v>#N/A</v>
      </c>
      <c r="G12" s="3">
        <f t="shared" si="3"/>
        <v>1729885</v>
      </c>
    </row>
    <row r="13" spans="1:7" x14ac:dyDescent="0.25">
      <c r="A13" s="4">
        <v>44196</v>
      </c>
      <c r="B13" s="5">
        <v>1729885</v>
      </c>
    </row>
  </sheetData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3D95A-C058-433B-B192-FDAF46E1DD4B}">
  <sheetPr codeName="Sheet4"/>
  <dimension ref="A1:G13"/>
  <sheetViews>
    <sheetView workbookViewId="0"/>
  </sheetViews>
  <sheetFormatPr defaultRowHeight="15" x14ac:dyDescent="0.25"/>
  <cols>
    <col min="1" max="1" width="10.7109375" bestFit="1" customWidth="1"/>
    <col min="2" max="2" width="13.28515625" bestFit="1" customWidth="1"/>
    <col min="3" max="3" width="11.28515625" bestFit="1" customWidth="1"/>
  </cols>
  <sheetData>
    <row r="1" spans="1:7" x14ac:dyDescent="0.25">
      <c r="A1" t="s">
        <v>0</v>
      </c>
      <c r="B1" t="s">
        <v>1</v>
      </c>
      <c r="F1" t="s">
        <v>2</v>
      </c>
      <c r="G1" t="s">
        <v>3</v>
      </c>
    </row>
    <row r="2" spans="1:7" x14ac:dyDescent="0.25">
      <c r="A2" s="4">
        <v>43861</v>
      </c>
      <c r="B2" s="5">
        <v>1188756</v>
      </c>
      <c r="C2" s="5">
        <f>B3-B2</f>
        <v>969715</v>
      </c>
      <c r="E2" s="2">
        <f>MONTH(A2)+0.5</f>
        <v>1.5</v>
      </c>
      <c r="F2" s="3">
        <f>IF(C2&gt;0,B3,NA())</f>
        <v>2158471</v>
      </c>
      <c r="G2" s="3" t="e">
        <f>IF(C2&lt;0,B3,NA())</f>
        <v>#N/A</v>
      </c>
    </row>
    <row r="3" spans="1:7" x14ac:dyDescent="0.25">
      <c r="A3" s="4">
        <v>43890</v>
      </c>
      <c r="B3" s="5">
        <v>2158471</v>
      </c>
      <c r="C3" s="5">
        <f t="shared" ref="C3:C12" si="0">B4-B3</f>
        <v>-72011</v>
      </c>
      <c r="E3" s="2">
        <f t="shared" ref="E3:E12" si="1">MONTH(A3)+0.5</f>
        <v>2.5</v>
      </c>
      <c r="F3" s="3" t="e">
        <f t="shared" ref="F3:F12" si="2">IF(C3&gt;0,B4,NA())</f>
        <v>#N/A</v>
      </c>
      <c r="G3" s="3">
        <f t="shared" ref="G3:G12" si="3">IF(C3&lt;0,B4,NA())</f>
        <v>2086460</v>
      </c>
    </row>
    <row r="4" spans="1:7" x14ac:dyDescent="0.25">
      <c r="A4" s="4">
        <v>43921</v>
      </c>
      <c r="B4" s="5">
        <v>2086460</v>
      </c>
      <c r="C4" s="5">
        <f t="shared" si="0"/>
        <v>3587245</v>
      </c>
      <c r="E4" s="2">
        <f t="shared" si="1"/>
        <v>3.5</v>
      </c>
      <c r="F4" s="3">
        <f t="shared" si="2"/>
        <v>5673705</v>
      </c>
      <c r="G4" s="3" t="e">
        <f t="shared" si="3"/>
        <v>#N/A</v>
      </c>
    </row>
    <row r="5" spans="1:7" x14ac:dyDescent="0.25">
      <c r="A5" s="4">
        <v>43951</v>
      </c>
      <c r="B5" s="5">
        <v>5673705</v>
      </c>
      <c r="C5" s="5">
        <f t="shared" si="0"/>
        <v>-1073938</v>
      </c>
      <c r="E5" s="2">
        <f t="shared" si="1"/>
        <v>4.5</v>
      </c>
      <c r="F5" s="3" t="e">
        <f t="shared" si="2"/>
        <v>#N/A</v>
      </c>
      <c r="G5" s="3">
        <f t="shared" si="3"/>
        <v>4599767</v>
      </c>
    </row>
    <row r="6" spans="1:7" x14ac:dyDescent="0.25">
      <c r="A6" s="4">
        <v>43982</v>
      </c>
      <c r="B6" s="5">
        <v>4599767</v>
      </c>
      <c r="C6" s="5">
        <f t="shared" si="0"/>
        <v>4916113</v>
      </c>
      <c r="E6" s="2">
        <f t="shared" si="1"/>
        <v>5.5</v>
      </c>
      <c r="F6" s="3">
        <f t="shared" si="2"/>
        <v>9515880</v>
      </c>
      <c r="G6" s="3" t="e">
        <f t="shared" si="3"/>
        <v>#N/A</v>
      </c>
    </row>
    <row r="7" spans="1:7" x14ac:dyDescent="0.25">
      <c r="A7" s="4">
        <v>44012</v>
      </c>
      <c r="B7" s="5">
        <v>9515880</v>
      </c>
      <c r="C7" s="5">
        <f t="shared" si="0"/>
        <v>-5493880</v>
      </c>
      <c r="E7" s="2">
        <f t="shared" si="1"/>
        <v>6.5</v>
      </c>
      <c r="F7" s="3" t="e">
        <f t="shared" si="2"/>
        <v>#N/A</v>
      </c>
      <c r="G7" s="3">
        <f t="shared" si="3"/>
        <v>4022000</v>
      </c>
    </row>
    <row r="8" spans="1:7" x14ac:dyDescent="0.25">
      <c r="A8" s="4">
        <v>44043</v>
      </c>
      <c r="B8" s="5">
        <v>4022000</v>
      </c>
      <c r="C8" s="5">
        <f t="shared" si="0"/>
        <v>-95372</v>
      </c>
      <c r="E8" s="2">
        <f t="shared" si="1"/>
        <v>7.5</v>
      </c>
      <c r="F8" s="3" t="e">
        <f t="shared" si="2"/>
        <v>#N/A</v>
      </c>
      <c r="G8" s="3">
        <f t="shared" si="3"/>
        <v>3926628</v>
      </c>
    </row>
    <row r="9" spans="1:7" x14ac:dyDescent="0.25">
      <c r="A9" s="4">
        <v>44074</v>
      </c>
      <c r="B9" s="5">
        <v>3926628</v>
      </c>
      <c r="C9" s="5">
        <f t="shared" si="0"/>
        <v>1862907</v>
      </c>
      <c r="E9" s="2">
        <f t="shared" si="1"/>
        <v>8.5</v>
      </c>
      <c r="F9" s="3">
        <f t="shared" si="2"/>
        <v>5789535</v>
      </c>
      <c r="G9" s="3" t="e">
        <f t="shared" si="3"/>
        <v>#N/A</v>
      </c>
    </row>
    <row r="10" spans="1:7" x14ac:dyDescent="0.25">
      <c r="A10" s="4">
        <v>44104</v>
      </c>
      <c r="B10" s="5">
        <v>5789535</v>
      </c>
      <c r="C10" s="5">
        <f t="shared" si="0"/>
        <v>-2855295</v>
      </c>
      <c r="E10" s="2">
        <f t="shared" si="1"/>
        <v>9.5</v>
      </c>
      <c r="F10" s="3" t="e">
        <f t="shared" si="2"/>
        <v>#N/A</v>
      </c>
      <c r="G10" s="3">
        <f t="shared" si="3"/>
        <v>2934240</v>
      </c>
    </row>
    <row r="11" spans="1:7" x14ac:dyDescent="0.25">
      <c r="A11" s="4">
        <v>44135</v>
      </c>
      <c r="B11" s="5">
        <v>2934240</v>
      </c>
      <c r="C11" s="5">
        <f t="shared" si="0"/>
        <v>142914</v>
      </c>
      <c r="E11" s="2">
        <f t="shared" si="1"/>
        <v>10.5</v>
      </c>
      <c r="F11" s="3">
        <f t="shared" si="2"/>
        <v>3077154</v>
      </c>
      <c r="G11" s="3" t="e">
        <f t="shared" si="3"/>
        <v>#N/A</v>
      </c>
    </row>
    <row r="12" spans="1:7" x14ac:dyDescent="0.25">
      <c r="A12" s="4">
        <v>44165</v>
      </c>
      <c r="B12" s="5">
        <v>3077154</v>
      </c>
      <c r="C12" s="5">
        <f t="shared" si="0"/>
        <v>-1347269</v>
      </c>
      <c r="E12" s="2">
        <f t="shared" si="1"/>
        <v>11.5</v>
      </c>
      <c r="F12" s="3" t="e">
        <f t="shared" si="2"/>
        <v>#N/A</v>
      </c>
      <c r="G12" s="3">
        <f t="shared" si="3"/>
        <v>1729885</v>
      </c>
    </row>
    <row r="13" spans="1:7" x14ac:dyDescent="0.25">
      <c r="A13" s="4">
        <v>44196</v>
      </c>
      <c r="B13" s="5">
        <v>1729885</v>
      </c>
    </row>
  </sheetData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1B7D1-4C22-4926-9424-0647E001E7D9}">
  <sheetPr codeName="Sheet6"/>
  <dimension ref="A1:G13"/>
  <sheetViews>
    <sheetView workbookViewId="0"/>
  </sheetViews>
  <sheetFormatPr defaultRowHeight="15" x14ac:dyDescent="0.25"/>
  <cols>
    <col min="1" max="1" width="10.7109375" bestFit="1" customWidth="1"/>
    <col min="2" max="2" width="13.28515625" bestFit="1" customWidth="1"/>
    <col min="3" max="3" width="11.28515625" bestFit="1" customWidth="1"/>
  </cols>
  <sheetData>
    <row r="1" spans="1:7" x14ac:dyDescent="0.25">
      <c r="A1" t="s">
        <v>0</v>
      </c>
      <c r="B1" t="s">
        <v>1</v>
      </c>
      <c r="F1" t="s">
        <v>2</v>
      </c>
      <c r="G1" t="s">
        <v>3</v>
      </c>
    </row>
    <row r="2" spans="1:7" x14ac:dyDescent="0.25">
      <c r="A2" s="4">
        <v>43861</v>
      </c>
      <c r="B2" s="5">
        <v>1188756</v>
      </c>
      <c r="C2" s="5">
        <f>B3-B2</f>
        <v>969715</v>
      </c>
      <c r="E2" s="2">
        <f>MONTH(A2)+0.5</f>
        <v>1.5</v>
      </c>
      <c r="F2" s="3">
        <f>IF(C2&gt;0,B3,NA())</f>
        <v>2158471</v>
      </c>
      <c r="G2" s="3" t="e">
        <f>IF(C2&lt;0,B3,NA())</f>
        <v>#N/A</v>
      </c>
    </row>
    <row r="3" spans="1:7" x14ac:dyDescent="0.25">
      <c r="A3" s="4">
        <v>43890</v>
      </c>
      <c r="B3" s="5">
        <v>2158471</v>
      </c>
      <c r="C3" s="5">
        <f t="shared" ref="C3:C12" si="0">B4-B3</f>
        <v>-72011</v>
      </c>
      <c r="E3" s="2">
        <f t="shared" ref="E3:E12" si="1">MONTH(A3)+0.5</f>
        <v>2.5</v>
      </c>
      <c r="F3" s="3" t="e">
        <f t="shared" ref="F3:F12" si="2">IF(C3&gt;0,B4,NA())</f>
        <v>#N/A</v>
      </c>
      <c r="G3" s="3">
        <f t="shared" ref="G3:G12" si="3">IF(C3&lt;0,B4,NA())</f>
        <v>2086460</v>
      </c>
    </row>
    <row r="4" spans="1:7" x14ac:dyDescent="0.25">
      <c r="A4" s="4">
        <v>43921</v>
      </c>
      <c r="B4" s="5">
        <v>2086460</v>
      </c>
      <c r="C4" s="5">
        <f t="shared" si="0"/>
        <v>3587245</v>
      </c>
      <c r="E4" s="2">
        <f t="shared" si="1"/>
        <v>3.5</v>
      </c>
      <c r="F4" s="3">
        <f t="shared" si="2"/>
        <v>5673705</v>
      </c>
      <c r="G4" s="3" t="e">
        <f t="shared" si="3"/>
        <v>#N/A</v>
      </c>
    </row>
    <row r="5" spans="1:7" x14ac:dyDescent="0.25">
      <c r="A5" s="4">
        <v>43951</v>
      </c>
      <c r="B5" s="5">
        <v>5673705</v>
      </c>
      <c r="C5" s="5">
        <f t="shared" si="0"/>
        <v>-1073938</v>
      </c>
      <c r="E5" s="2">
        <f t="shared" si="1"/>
        <v>4.5</v>
      </c>
      <c r="F5" s="3" t="e">
        <f t="shared" si="2"/>
        <v>#N/A</v>
      </c>
      <c r="G5" s="3">
        <f t="shared" si="3"/>
        <v>4599767</v>
      </c>
    </row>
    <row r="6" spans="1:7" x14ac:dyDescent="0.25">
      <c r="A6" s="4">
        <v>43982</v>
      </c>
      <c r="B6" s="5">
        <v>4599767</v>
      </c>
      <c r="C6" s="5">
        <f t="shared" si="0"/>
        <v>4916113</v>
      </c>
      <c r="E6" s="2">
        <f t="shared" si="1"/>
        <v>5.5</v>
      </c>
      <c r="F6" s="3">
        <f t="shared" si="2"/>
        <v>9515880</v>
      </c>
      <c r="G6" s="3" t="e">
        <f t="shared" si="3"/>
        <v>#N/A</v>
      </c>
    </row>
    <row r="7" spans="1:7" x14ac:dyDescent="0.25">
      <c r="A7" s="4">
        <v>44012</v>
      </c>
      <c r="B7" s="5">
        <v>9515880</v>
      </c>
      <c r="C7" s="5">
        <f t="shared" si="0"/>
        <v>-5493880</v>
      </c>
      <c r="E7" s="2">
        <f t="shared" si="1"/>
        <v>6.5</v>
      </c>
      <c r="F7" s="3" t="e">
        <f t="shared" si="2"/>
        <v>#N/A</v>
      </c>
      <c r="G7" s="3">
        <f t="shared" si="3"/>
        <v>4022000</v>
      </c>
    </row>
    <row r="8" spans="1:7" x14ac:dyDescent="0.25">
      <c r="A8" s="4">
        <v>44043</v>
      </c>
      <c r="B8" s="5">
        <v>4022000</v>
      </c>
      <c r="C8" s="5">
        <f t="shared" si="0"/>
        <v>-95372</v>
      </c>
      <c r="E8" s="2">
        <f t="shared" si="1"/>
        <v>7.5</v>
      </c>
      <c r="F8" s="3" t="e">
        <f t="shared" si="2"/>
        <v>#N/A</v>
      </c>
      <c r="G8" s="3">
        <f t="shared" si="3"/>
        <v>3926628</v>
      </c>
    </row>
    <row r="9" spans="1:7" x14ac:dyDescent="0.25">
      <c r="A9" s="4">
        <v>44074</v>
      </c>
      <c r="B9" s="5">
        <v>3926628</v>
      </c>
      <c r="C9" s="5">
        <f t="shared" si="0"/>
        <v>1862907</v>
      </c>
      <c r="E9" s="2">
        <f t="shared" si="1"/>
        <v>8.5</v>
      </c>
      <c r="F9" s="3">
        <f t="shared" si="2"/>
        <v>5789535</v>
      </c>
      <c r="G9" s="3" t="e">
        <f t="shared" si="3"/>
        <v>#N/A</v>
      </c>
    </row>
    <row r="10" spans="1:7" x14ac:dyDescent="0.25">
      <c r="A10" s="4">
        <v>44104</v>
      </c>
      <c r="B10" s="5">
        <v>5789535</v>
      </c>
      <c r="C10" s="5">
        <f t="shared" si="0"/>
        <v>-2855295</v>
      </c>
      <c r="E10" s="2">
        <f t="shared" si="1"/>
        <v>9.5</v>
      </c>
      <c r="F10" s="3" t="e">
        <f t="shared" si="2"/>
        <v>#N/A</v>
      </c>
      <c r="G10" s="3">
        <f t="shared" si="3"/>
        <v>2934240</v>
      </c>
    </row>
    <row r="11" spans="1:7" x14ac:dyDescent="0.25">
      <c r="A11" s="4">
        <v>44135</v>
      </c>
      <c r="B11" s="5">
        <v>2934240</v>
      </c>
      <c r="C11" s="5">
        <f t="shared" si="0"/>
        <v>142914</v>
      </c>
      <c r="E11" s="2">
        <f t="shared" si="1"/>
        <v>10.5</v>
      </c>
      <c r="F11" s="3">
        <f t="shared" si="2"/>
        <v>3077154</v>
      </c>
      <c r="G11" s="3" t="e">
        <f t="shared" si="3"/>
        <v>#N/A</v>
      </c>
    </row>
    <row r="12" spans="1:7" x14ac:dyDescent="0.25">
      <c r="A12" s="4">
        <v>44165</v>
      </c>
      <c r="B12" s="5">
        <v>3077154</v>
      </c>
      <c r="C12" s="5">
        <f t="shared" si="0"/>
        <v>-1347269</v>
      </c>
      <c r="E12" s="2">
        <f t="shared" si="1"/>
        <v>11.5</v>
      </c>
      <c r="F12" s="3" t="e">
        <f t="shared" si="2"/>
        <v>#N/A</v>
      </c>
      <c r="G12" s="3">
        <f t="shared" si="3"/>
        <v>1729885</v>
      </c>
    </row>
    <row r="13" spans="1:7" x14ac:dyDescent="0.25">
      <c r="A13" s="4">
        <v>44196</v>
      </c>
      <c r="B13" s="5">
        <v>1729885</v>
      </c>
    </row>
  </sheetData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6DF8-E519-432B-BC98-7744DA072266}">
  <sheetPr codeName="Sheet5"/>
  <dimension ref="A1:G13"/>
  <sheetViews>
    <sheetView workbookViewId="0"/>
  </sheetViews>
  <sheetFormatPr defaultRowHeight="15" x14ac:dyDescent="0.25"/>
  <cols>
    <col min="1" max="1" width="10.7109375" bestFit="1" customWidth="1"/>
    <col min="2" max="2" width="13.28515625" bestFit="1" customWidth="1"/>
    <col min="3" max="3" width="11.28515625" bestFit="1" customWidth="1"/>
  </cols>
  <sheetData>
    <row r="1" spans="1:7" x14ac:dyDescent="0.25">
      <c r="A1" t="s">
        <v>0</v>
      </c>
      <c r="B1" t="s">
        <v>1</v>
      </c>
      <c r="F1" t="s">
        <v>2</v>
      </c>
      <c r="G1" t="s">
        <v>3</v>
      </c>
    </row>
    <row r="2" spans="1:7" x14ac:dyDescent="0.25">
      <c r="A2" s="4">
        <v>43861</v>
      </c>
      <c r="B2" s="5">
        <v>1188756</v>
      </c>
      <c r="C2" s="5">
        <f>B3-B2</f>
        <v>969715</v>
      </c>
      <c r="E2" s="2">
        <f>MONTH(A2)+0.5</f>
        <v>1.5</v>
      </c>
      <c r="F2" s="3">
        <f>IF(C2&gt;0,B3,NA())</f>
        <v>2158471</v>
      </c>
      <c r="G2" s="3" t="e">
        <f>IF(C2&lt;0,B3,NA())</f>
        <v>#N/A</v>
      </c>
    </row>
    <row r="3" spans="1:7" x14ac:dyDescent="0.25">
      <c r="A3" s="4">
        <v>43890</v>
      </c>
      <c r="B3" s="5">
        <v>2158471</v>
      </c>
      <c r="C3" s="5">
        <f t="shared" ref="C3:C12" si="0">B4-B3</f>
        <v>-72011</v>
      </c>
      <c r="E3" s="2">
        <f t="shared" ref="E3:E12" si="1">MONTH(A3)+0.5</f>
        <v>2.5</v>
      </c>
      <c r="F3" s="3" t="e">
        <f t="shared" ref="F3:F12" si="2">IF(C3&gt;0,B4,NA())</f>
        <v>#N/A</v>
      </c>
      <c r="G3" s="3">
        <f t="shared" ref="G3:G12" si="3">IF(C3&lt;0,B4,NA())</f>
        <v>2086460</v>
      </c>
    </row>
    <row r="4" spans="1:7" x14ac:dyDescent="0.25">
      <c r="A4" s="4">
        <v>43921</v>
      </c>
      <c r="B4" s="5">
        <v>2086460</v>
      </c>
      <c r="C4" s="5">
        <f t="shared" si="0"/>
        <v>3587245</v>
      </c>
      <c r="E4" s="2">
        <f t="shared" si="1"/>
        <v>3.5</v>
      </c>
      <c r="F4" s="3">
        <f t="shared" si="2"/>
        <v>5673705</v>
      </c>
      <c r="G4" s="3" t="e">
        <f t="shared" si="3"/>
        <v>#N/A</v>
      </c>
    </row>
    <row r="5" spans="1:7" x14ac:dyDescent="0.25">
      <c r="A5" s="4">
        <v>43951</v>
      </c>
      <c r="B5" s="5">
        <v>5673705</v>
      </c>
      <c r="C5" s="5">
        <f t="shared" si="0"/>
        <v>-1073938</v>
      </c>
      <c r="E5" s="2">
        <f t="shared" si="1"/>
        <v>4.5</v>
      </c>
      <c r="F5" s="3" t="e">
        <f t="shared" si="2"/>
        <v>#N/A</v>
      </c>
      <c r="G5" s="3">
        <f t="shared" si="3"/>
        <v>4599767</v>
      </c>
    </row>
    <row r="6" spans="1:7" x14ac:dyDescent="0.25">
      <c r="A6" s="4">
        <v>43982</v>
      </c>
      <c r="B6" s="5">
        <v>4599767</v>
      </c>
      <c r="C6" s="5">
        <f t="shared" si="0"/>
        <v>4916113</v>
      </c>
      <c r="E6" s="2">
        <f t="shared" si="1"/>
        <v>5.5</v>
      </c>
      <c r="F6" s="3">
        <f t="shared" si="2"/>
        <v>9515880</v>
      </c>
      <c r="G6" s="3" t="e">
        <f t="shared" si="3"/>
        <v>#N/A</v>
      </c>
    </row>
    <row r="7" spans="1:7" x14ac:dyDescent="0.25">
      <c r="A7" s="4">
        <v>44012</v>
      </c>
      <c r="B7" s="5">
        <v>9515880</v>
      </c>
      <c r="C7" s="5">
        <f t="shared" si="0"/>
        <v>-5493880</v>
      </c>
      <c r="E7" s="2">
        <f t="shared" si="1"/>
        <v>6.5</v>
      </c>
      <c r="F7" s="3" t="e">
        <f t="shared" si="2"/>
        <v>#N/A</v>
      </c>
      <c r="G7" s="3">
        <f t="shared" si="3"/>
        <v>4022000</v>
      </c>
    </row>
    <row r="8" spans="1:7" x14ac:dyDescent="0.25">
      <c r="A8" s="4">
        <v>44043</v>
      </c>
      <c r="B8" s="5">
        <v>4022000</v>
      </c>
      <c r="C8" s="5">
        <f t="shared" si="0"/>
        <v>-95372</v>
      </c>
      <c r="E8" s="2">
        <f t="shared" si="1"/>
        <v>7.5</v>
      </c>
      <c r="F8" s="3" t="e">
        <f t="shared" si="2"/>
        <v>#N/A</v>
      </c>
      <c r="G8" s="3">
        <f t="shared" si="3"/>
        <v>3926628</v>
      </c>
    </row>
    <row r="9" spans="1:7" x14ac:dyDescent="0.25">
      <c r="A9" s="4">
        <v>44074</v>
      </c>
      <c r="B9" s="5">
        <v>3926628</v>
      </c>
      <c r="C9" s="5">
        <f t="shared" si="0"/>
        <v>1862907</v>
      </c>
      <c r="E9" s="2">
        <f t="shared" si="1"/>
        <v>8.5</v>
      </c>
      <c r="F9" s="3">
        <f t="shared" si="2"/>
        <v>5789535</v>
      </c>
      <c r="G9" s="3" t="e">
        <f t="shared" si="3"/>
        <v>#N/A</v>
      </c>
    </row>
    <row r="10" spans="1:7" x14ac:dyDescent="0.25">
      <c r="A10" s="4">
        <v>44104</v>
      </c>
      <c r="B10" s="5">
        <v>5789535</v>
      </c>
      <c r="C10" s="5">
        <f t="shared" si="0"/>
        <v>-2855295</v>
      </c>
      <c r="E10" s="2">
        <f t="shared" si="1"/>
        <v>9.5</v>
      </c>
      <c r="F10" s="3" t="e">
        <f t="shared" si="2"/>
        <v>#N/A</v>
      </c>
      <c r="G10" s="3">
        <f t="shared" si="3"/>
        <v>2934240</v>
      </c>
    </row>
    <row r="11" spans="1:7" x14ac:dyDescent="0.25">
      <c r="A11" s="4">
        <v>44135</v>
      </c>
      <c r="B11" s="5">
        <v>2934240</v>
      </c>
      <c r="C11" s="5">
        <f t="shared" si="0"/>
        <v>142914</v>
      </c>
      <c r="E11" s="2">
        <f t="shared" si="1"/>
        <v>10.5</v>
      </c>
      <c r="F11" s="3">
        <f t="shared" si="2"/>
        <v>3077154</v>
      </c>
      <c r="G11" s="3" t="e">
        <f t="shared" si="3"/>
        <v>#N/A</v>
      </c>
    </row>
    <row r="12" spans="1:7" x14ac:dyDescent="0.25">
      <c r="A12" s="4">
        <v>44165</v>
      </c>
      <c r="B12" s="5">
        <v>3077154</v>
      </c>
      <c r="C12" s="5">
        <f t="shared" si="0"/>
        <v>-1347269</v>
      </c>
      <c r="E12" s="2">
        <f t="shared" si="1"/>
        <v>11.5</v>
      </c>
      <c r="F12" s="3" t="e">
        <f t="shared" si="2"/>
        <v>#N/A</v>
      </c>
      <c r="G12" s="3">
        <f t="shared" si="3"/>
        <v>1729885</v>
      </c>
    </row>
    <row r="13" spans="1:7" x14ac:dyDescent="0.25">
      <c r="A13" s="4">
        <v>44196</v>
      </c>
      <c r="B13" s="5">
        <v>1729885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InitalColumnChart</vt:lpstr>
      <vt:lpstr>VarianceSeries</vt:lpstr>
      <vt:lpstr>InitialErrorBars</vt:lpstr>
      <vt:lpstr>IncreaseErrorBars</vt:lpstr>
      <vt:lpstr>BothErrorBars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Kusleika</dc:creator>
  <cp:lastModifiedBy>Dick Kusleika</cp:lastModifiedBy>
  <dcterms:created xsi:type="dcterms:W3CDTF">2020-03-24T23:40:23Z</dcterms:created>
  <dcterms:modified xsi:type="dcterms:W3CDTF">2020-04-27T23:16:47Z</dcterms:modified>
</cp:coreProperties>
</file>